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rts" sheetId="2" state="visible" r:id="rId2"/>
    <sheet xmlns:r="http://schemas.openxmlformats.org/officeDocument/2006/relationships" name="Money Sources" sheetId="3" state="visible" r:id="rId3"/>
    <sheet xmlns:r="http://schemas.openxmlformats.org/officeDocument/2006/relationships" name="Candidate Totals" sheetId="4" state="visible" r:id="rId4"/>
    <sheet xmlns:r="http://schemas.openxmlformats.org/officeDocument/2006/relationships" name="Outside Money" sheetId="5" state="visible" r:id="rId5"/>
    <sheet xmlns:r="http://schemas.openxmlformats.org/officeDocument/2006/relationships" name="History" sheetId="6" state="visible" r:id="rId6"/>
    <sheet xmlns:r="http://schemas.openxmlformats.org/officeDocument/2006/relationships" name="History Charts" sheetId="7" state="visible" r:id="rId7"/>
    <sheet xmlns:r="http://schemas.openxmlformats.org/officeDocument/2006/relationships" name="Money vs Results" sheetId="8" state="visible" r:id="rId8"/>
    <sheet xmlns:r="http://schemas.openxmlformats.org/officeDocument/2006/relationships" name="Notes &amp; Sources" sheetId="9" state="visible" r:id="rId9"/>
  </sheets>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pp&quot;;(0.0&quot;pp&quot;);&quot;-&quot;"/>
    <numFmt numFmtId="168" formatCode="#,##0;(#,##0);&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7">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i val="1"/>
      <color rgb="00C00000"/>
      <sz val="10"/>
    </font>
    <font>
      <name val="Arial"/>
      <b val="1"/>
      <color rgb="001F3864"/>
      <sz val="10"/>
    </font>
    <font>
      <name val="Arial"/>
      <color rgb="00595959"/>
      <sz val="9"/>
    </font>
    <font>
      <name val="Arial"/>
      <color rgb="00008000"/>
      <sz val="10"/>
    </font>
    <font>
      <name val="Arial"/>
      <i val="1"/>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F2F2F2"/>
      </patternFill>
    </fill>
    <fill>
      <patternFill patternType="solid">
        <fgColor rgb="00D9E2F3"/>
      </patternFill>
    </fill>
    <fill>
      <patternFill patternType="solid">
        <fgColor rgb="00EAF3E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6" fillId="0" borderId="0" applyAlignment="1" pivotButton="0" quotePrefix="0" xfId="0">
      <alignment horizontal="left"/>
    </xf>
    <xf numFmtId="0" fontId="10"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5" borderId="1" pivotButton="0" quotePrefix="0" xfId="0"/>
    <xf numFmtId="164" fontId="11" fillId="5" borderId="1" pivotButton="0" quotePrefix="0" xfId="0"/>
    <xf numFmtId="164" fontId="7" fillId="5" borderId="1" pivotButton="0" quotePrefix="0" xfId="0"/>
    <xf numFmtId="166" fontId="11" fillId="0" borderId="1" pivotButton="0" quotePrefix="0" xfId="0"/>
    <xf numFmtId="167" fontId="7" fillId="0" borderId="1" pivotButton="0" quotePrefix="0" xfId="0"/>
    <xf numFmtId="0" fontId="0" fillId="5" borderId="1" pivotButton="0" quotePrefix="0" xfId="0"/>
    <xf numFmtId="0" fontId="11" fillId="5"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9"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10" fillId="0" borderId="0" applyAlignment="1" pivotButton="0" quotePrefix="0" xfId="0">
      <alignment vertical="top" wrapText="1"/>
    </xf>
    <xf numFmtId="0" fontId="9" fillId="0" borderId="0" pivotButton="0" quotePrefix="0" xfId="0"/>
    <xf numFmtId="0" fontId="4" fillId="0" borderId="0" pivotButton="0" quotePrefix="0" xfId="0"/>
    <xf numFmtId="164" fontId="11" fillId="0" borderId="0" pivotButton="0" quotePrefix="0" xfId="0"/>
    <xf numFmtId="166" fontId="7" fillId="5" borderId="1" pivotButton="0" quotePrefix="0" xfId="0"/>
    <xf numFmtId="0" fontId="12" fillId="0" borderId="0" pivotButton="0" quotePrefix="0" xfId="0"/>
    <xf numFmtId="165" fontId="12" fillId="0" borderId="0" pivotButton="0" quotePrefix="0" xfId="0"/>
    <xf numFmtId="164" fontId="5" fillId="0" borderId="1" pivotButton="0" quotePrefix="0" xfId="0"/>
    <xf numFmtId="167" fontId="5" fillId="0" borderId="1" pivotButton="0" quotePrefix="0" xfId="0"/>
    <xf numFmtId="164" fontId="6" fillId="0" borderId="1" pivotButton="0" quotePrefix="0" xfId="0"/>
    <xf numFmtId="0" fontId="8" fillId="0" borderId="1" pivotButton="0" quotePrefix="0" xfId="0"/>
    <xf numFmtId="0" fontId="0" fillId="4" borderId="1" pivotButton="0" quotePrefix="0" xfId="0"/>
    <xf numFmtId="0" fontId="9"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5" borderId="1" pivotButton="0" quotePrefix="0" xfId="0"/>
    <xf numFmtId="0" fontId="6" fillId="6" borderId="1" pivotButton="0" quotePrefix="0" xfId="0"/>
    <xf numFmtId="0" fontId="6" fillId="6" borderId="1" applyAlignment="1" pivotButton="0" quotePrefix="0" xfId="0">
      <alignment vertical="top" wrapText="1"/>
    </xf>
    <xf numFmtId="0" fontId="13" fillId="6" borderId="1" applyAlignment="1" pivotButton="0" quotePrefix="0" xfId="0">
      <alignment horizontal="center"/>
    </xf>
    <xf numFmtId="0" fontId="5" fillId="6" borderId="1" pivotButton="0" quotePrefix="0" xfId="0"/>
    <xf numFmtId="164" fontId="6" fillId="6" borderId="1" pivotButton="0" quotePrefix="0" xfId="0"/>
    <xf numFmtId="164" fontId="5" fillId="6" borderId="1" pivotButton="0" quotePrefix="0" xfId="0"/>
    <xf numFmtId="168" fontId="6" fillId="6" borderId="1" pivotButton="0" quotePrefix="0" xfId="0"/>
    <xf numFmtId="169" fontId="5" fillId="6" borderId="1" pivotButton="0" quotePrefix="0" xfId="0"/>
    <xf numFmtId="0" fontId="7" fillId="6" borderId="1" applyAlignment="1" pivotButton="0" quotePrefix="0" xfId="0">
      <alignment horizontal="center"/>
    </xf>
    <xf numFmtId="165" fontId="5" fillId="6" borderId="1" pivotButton="0" quotePrefix="0" xfId="0"/>
    <xf numFmtId="0" fontId="6" fillId="0" borderId="1" pivotButton="0" quotePrefix="0" xfId="0"/>
    <xf numFmtId="0" fontId="6" fillId="0" borderId="1" applyAlignment="1" pivotButton="0" quotePrefix="0" xfId="0">
      <alignment vertical="top" wrapText="1"/>
    </xf>
    <xf numFmtId="0" fontId="14" fillId="0" borderId="1" applyAlignment="1" pivotButton="0" quotePrefix="0" xfId="0">
      <alignment horizontal="center"/>
    </xf>
    <xf numFmtId="168" fontId="6" fillId="0" borderId="1" pivotButton="0" quotePrefix="0" xfId="0"/>
    <xf numFmtId="169" fontId="5" fillId="0" borderId="1" pivotButton="0" quotePrefix="0" xfId="0"/>
    <xf numFmtId="0" fontId="15" fillId="0" borderId="1" applyAlignment="1" pivotButton="0" quotePrefix="0" xfId="0">
      <alignment horizontal="center"/>
    </xf>
    <xf numFmtId="165" fontId="5" fillId="0" borderId="1" pivotButton="0" quotePrefix="0" xfId="0"/>
    <xf numFmtId="0" fontId="13" fillId="0" borderId="1" applyAlignment="1" pivotButton="0" quotePrefix="0" xfId="0">
      <alignment horizontal="center"/>
    </xf>
    <xf numFmtId="0" fontId="14" fillId="6" borderId="1" applyAlignment="1" pivotButton="0" quotePrefix="0" xfId="0">
      <alignment horizontal="center"/>
    </xf>
    <xf numFmtId="0" fontId="0" fillId="0" borderId="1" pivotButton="0" quotePrefix="0" xfId="0"/>
    <xf numFmtId="168" fontId="6" fillId="4" borderId="1" pivotButton="0" quotePrefix="0" xfId="0"/>
    <xf numFmtId="169" fontId="5" fillId="4" borderId="1" pivotButton="0" quotePrefix="0" xfId="0"/>
    <xf numFmtId="170" fontId="12"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6"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1. Receipts, spending and cash on hand</a:t>
            </a:r>
          </a:p>
        </rich>
      </tx>
    </title>
    <plotArea>
      <barChart>
        <barDir val="col"/>
        <grouping val="clustered"/>
        <ser>
          <idx val="0"/>
          <order val="0"/>
          <tx>
            <strRef>
              <f>'Charts'!S3</f>
            </strRef>
          </tx>
          <spPr>
            <a:solidFill xmlns:a="http://schemas.openxmlformats.org/drawingml/2006/main">
              <a:srgbClr val="2E5FA3"/>
            </a:solidFill>
            <a:ln xmlns:a="http://schemas.openxmlformats.org/drawingml/2006/main">
              <a:solidFill>
                <a:srgbClr val="2E5FA3"/>
              </a:solidFill>
              <a:prstDash val="solid"/>
            </a:ln>
          </spPr>
          <cat>
            <numRef>
              <f>'Charts'!$R$4:$R$6</f>
            </numRef>
          </cat>
          <val>
            <numRef>
              <f>'Charts'!$S$4:$S$6</f>
            </numRef>
          </val>
        </ser>
        <ser>
          <idx val="1"/>
          <order val="1"/>
          <tx>
            <strRef>
              <f>'Charts'!T3</f>
            </strRef>
          </tx>
          <spPr>
            <a:solidFill xmlns:a="http://schemas.openxmlformats.org/drawingml/2006/main">
              <a:srgbClr val="C0392B"/>
            </a:solidFill>
            <a:ln xmlns:a="http://schemas.openxmlformats.org/drawingml/2006/mai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2. Where each nominee's receipts came from</a:t>
            </a:r>
          </a:p>
        </rich>
      </tx>
    </title>
    <plotArea>
      <barChart>
        <barDir val="col"/>
        <grouping val="stacked"/>
        <ser>
          <idx val="0"/>
          <order val="0"/>
          <tx>
            <strRef>
              <f>'Charts'!S9</f>
            </strRef>
          </tx>
          <spPr>
            <a:solidFill xmlns:a="http://schemas.openxmlformats.org/drawingml/2006/main">
              <a:srgbClr val="1F4E79"/>
            </a:solidFill>
            <a:ln xmlns:a="http://schemas.openxmlformats.org/drawingml/2006/main">
              <a:solidFill>
                <a:srgbClr val="1F4E79"/>
              </a:solidFill>
              <a:prstDash val="solid"/>
            </a:ln>
          </spPr>
          <cat>
            <numRef>
              <f>'Charts'!$R$10:$R$11</f>
            </numRef>
          </cat>
          <val>
            <numRef>
              <f>'Charts'!$S$10:$S$11</f>
            </numRef>
          </val>
        </ser>
        <ser>
          <idx val="1"/>
          <order val="1"/>
          <tx>
            <strRef>
              <f>'Charts'!T9</f>
            </strRef>
          </tx>
          <spPr>
            <a:solidFill xmlns:a="http://schemas.openxmlformats.org/drawingml/2006/main">
              <a:srgbClr val="2E75B6"/>
            </a:solidFill>
            <a:ln xmlns:a="http://schemas.openxmlformats.org/drawingml/2006/main">
              <a:solidFill>
                <a:srgbClr val="2E75B6"/>
              </a:solidFill>
              <a:prstDash val="solid"/>
            </a:ln>
          </spPr>
          <cat>
            <numRef>
              <f>'Charts'!$R$10:$R$11</f>
            </numRef>
          </cat>
          <val>
            <numRef>
              <f>'Charts'!$T$10:$T$11</f>
            </numRef>
          </val>
        </ser>
        <ser>
          <idx val="2"/>
          <order val="2"/>
          <tx>
            <strRef>
              <f>'Charts'!U9</f>
            </strRef>
          </tx>
          <spPr>
            <a:solidFill xmlns:a="http://schemas.openxmlformats.org/drawingml/2006/main">
              <a:srgbClr val="7EA6D9"/>
            </a:solidFill>
            <a:ln xmlns:a="http://schemas.openxmlformats.org/drawingml/2006/main">
              <a:solidFill>
                <a:srgbClr val="7EA6D9"/>
              </a:solidFill>
              <a:prstDash val="solid"/>
            </a:ln>
          </spPr>
          <cat>
            <numRef>
              <f>'Charts'!$R$10:$R$11</f>
            </numRef>
          </cat>
          <val>
            <numRef>
              <f>'Charts'!$U$10:$U$11</f>
            </numRef>
          </val>
        </ser>
        <ser>
          <idx val="3"/>
          <order val="3"/>
          <tx>
            <strRef>
              <f>'Charts'!V9</f>
            </strRef>
          </tx>
          <spPr>
            <a:solidFill xmlns:a="http://schemas.openxmlformats.org/drawingml/2006/main">
              <a:srgbClr val="A9C6E8"/>
            </a:solidFill>
            <a:ln xmlns:a="http://schemas.openxmlformats.org/drawingml/2006/main">
              <a:solidFill>
                <a:srgbClr val="A9C6E8"/>
              </a:solidFill>
              <a:prstDash val="solid"/>
            </a:ln>
          </spPr>
          <cat>
            <numRef>
              <f>'Charts'!$R$10:$R$11</f>
            </numRef>
          </cat>
          <val>
            <numRef>
              <f>'Charts'!$V$10:$V$11</f>
            </numRef>
          </val>
        </ser>
        <ser>
          <idx val="4"/>
          <order val="4"/>
          <tx>
            <strRef>
              <f>'Charts'!W9</f>
            </strRef>
          </tx>
          <spPr>
            <a:solidFill xmlns:a="http://schemas.openxmlformats.org/drawingml/2006/main">
              <a:srgbClr val="E8A33D"/>
            </a:solidFill>
            <a:ln xmlns:a="http://schemas.openxmlformats.org/drawingml/2006/main">
              <a:solidFill>
                <a:srgbClr val="E8A33D"/>
              </a:solidFill>
              <a:prstDash val="solid"/>
            </a:ln>
          </spPr>
          <cat>
            <numRef>
              <f>'Charts'!$R$10:$R$11</f>
            </numRef>
          </cat>
          <val>
            <numRef>
              <f>'Charts'!$W$10:$W$11</f>
            </numRef>
          </val>
        </ser>
        <ser>
          <idx val="5"/>
          <order val="5"/>
          <tx>
            <strRef>
              <f>'Charts'!X9</f>
            </strRef>
          </tx>
          <spPr>
            <a:solidFill xmlns:a="http://schemas.openxmlformats.org/drawingml/2006/main">
              <a:srgbClr val="7F7F7F"/>
            </a:solidFill>
            <a:ln xmlns:a="http://schemas.openxmlformats.org/drawingml/2006/main">
              <a:solidFill>
                <a:srgbClr val="7F7F7F"/>
              </a:solidFill>
              <a:prstDash val="solid"/>
            </a:ln>
          </spPr>
          <cat>
            <numRef>
              <f>'Charts'!$R$10:$R$11</f>
            </numRef>
          </cat>
          <val>
            <numRef>
              <f>'Charts'!$X$10:$X$11</f>
            </numRef>
          </val>
        </ser>
        <ser>
          <idx val="6"/>
          <order val="6"/>
          <tx>
            <strRef>
              <f>'Charts'!Y9</f>
            </strRef>
          </tx>
          <spPr>
            <a:solidFill xmlns:a="http://schemas.openxmlformats.org/drawingml/2006/main">
              <a:srgbClr val="D9D9D9"/>
            </a:solidFill>
            <a:ln xmlns:a="http://schemas.openxmlformats.org/drawingml/2006/mai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3. The headline gap is mostly one committee transfer</a:t>
            </a:r>
          </a:p>
        </rich>
      </tx>
    </title>
    <plotArea>
      <barChart>
        <barDir val="col"/>
        <grouping val="clustered"/>
        <ser>
          <idx val="0"/>
          <order val="0"/>
          <tx>
            <strRef>
              <f>'Charts'!S14</f>
            </strRef>
          </tx>
          <spPr>
            <a:solidFill xmlns:a="http://schemas.openxmlformats.org/drawingml/2006/main">
              <a:srgbClr val="2E5FA3"/>
            </a:solidFill>
            <a:ln xmlns:a="http://schemas.openxmlformats.org/drawingml/2006/main">
              <a:solidFill>
                <a:srgbClr val="2E5FA3"/>
              </a:solidFill>
              <a:prstDash val="solid"/>
            </a:ln>
          </spPr>
          <cat>
            <numRef>
              <f>'Charts'!$R$15:$R$16</f>
            </numRef>
          </cat>
          <val>
            <numRef>
              <f>'Charts'!$S$15:$S$16</f>
            </numRef>
          </val>
        </ser>
        <ser>
          <idx val="1"/>
          <order val="1"/>
          <tx>
            <strRef>
              <f>'Charts'!T14</f>
            </strRef>
          </tx>
          <spPr>
            <a:solidFill xmlns:a="http://schemas.openxmlformats.org/drawingml/2006/main">
              <a:srgbClr val="C0392B"/>
            </a:solidFill>
            <a:ln xmlns:a="http://schemas.openxmlformats.org/drawingml/2006/mai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4. The ten largest outside spenders</a:t>
            </a:r>
          </a:p>
        </rich>
      </tx>
    </title>
    <plotArea>
      <barChart>
        <barDir val="bar"/>
        <grouping val="clustered"/>
        <ser>
          <idx val="0"/>
          <order val="0"/>
          <tx>
            <strRef>
              <f>'Charts'!S19</f>
            </strRef>
          </tx>
          <spPr>
            <a:solidFill xmlns:a="http://schemas.openxmlformats.org/drawingml/2006/main">
              <a:srgbClr val="1F4E79"/>
            </a:solidFill>
            <a:ln xmlns:a="http://schemas.openxmlformats.org/drawingml/2006/mai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5. Outside spending by target and stance</a:t>
            </a:r>
          </a:p>
        </rich>
      </tx>
    </title>
    <plotArea>
      <barChart>
        <barDir val="col"/>
        <grouping val="clustered"/>
        <ser>
          <idx val="0"/>
          <order val="0"/>
          <tx>
            <strRef>
              <f>'Charts'!S32</f>
            </strRef>
          </tx>
          <spPr>
            <a:solidFill xmlns:a="http://schemas.openxmlformats.org/drawingml/2006/main">
              <a:srgbClr val="1F4E79"/>
            </a:solidFill>
            <a:ln xmlns:a="http://schemas.openxmlformats.org/drawingml/2006/main">
              <a:solidFill>
                <a:srgbClr val="1F4E79"/>
              </a:solidFill>
              <a:prstDash val="solid"/>
            </a:ln>
          </spPr>
          <cat>
            <numRef>
              <f>'Charts'!$R$33:$R$52</f>
            </numRef>
          </cat>
          <val>
            <numRef>
              <f>'Charts'!$S$33:$S$52</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6. Outside spending is concentrated</a:t>
            </a:r>
          </a:p>
        </rich>
      </tx>
    </title>
    <plotArea>
      <pieChart>
        <varyColors val="1"/>
        <ser>
          <idx val="0"/>
          <order val="0"/>
          <tx>
            <strRef>
              <f>'Charts'!S55</f>
            </strRef>
          </tx>
          <spPr>
            <a:ln xmlns:a="http://schemas.openxmlformats.org/drawingml/2006/main">
              <a:prstDash val="solid"/>
            </a:ln>
          </spPr>
          <dPt>
            <idx val="0"/>
            <spPr>
              <a:solidFill xmlns:a="http://schemas.openxmlformats.org/drawingml/2006/main">
                <a:srgbClr val="1F4E79"/>
              </a:solidFill>
              <a:ln xmlns:a="http://schemas.openxmlformats.org/drawingml/2006/main">
                <a:prstDash val="solid"/>
              </a:ln>
            </spPr>
          </dPt>
          <dPt>
            <idx val="1"/>
            <spPr>
              <a:solidFill xmlns:a="http://schemas.openxmlformats.org/drawingml/2006/main">
                <a:srgbClr val="C0392B"/>
              </a:solidFill>
              <a:ln xmlns:a="http://schemas.openxmlformats.org/drawingml/2006/main">
                <a:prstDash val="solid"/>
              </a:ln>
            </spPr>
          </dPt>
          <dPt>
            <idx val="2"/>
            <spPr>
              <a:solidFill xmlns:a="http://schemas.openxmlformats.org/drawingml/2006/main">
                <a:srgbClr val="2E75B6"/>
              </a:solidFill>
              <a:ln xmlns:a="http://schemas.openxmlformats.org/drawingml/2006/main">
                <a:prstDash val="solid"/>
              </a:ln>
            </spPr>
          </dPt>
          <dPt>
            <idx val="3"/>
            <spPr>
              <a:solidFill xmlns:a="http://schemas.openxmlformats.org/drawingml/2006/main">
                <a:srgbClr val="7EA6D9"/>
              </a:solidFill>
              <a:ln xmlns:a="http://schemas.openxmlformats.org/drawingml/2006/main">
                <a:prstDash val="solid"/>
              </a:ln>
            </spPr>
          </dPt>
          <dPt>
            <idx val="4"/>
            <spPr>
              <a:solidFill xmlns:a="http://schemas.openxmlformats.org/drawingml/2006/main">
                <a:srgbClr val="5B9BD5"/>
              </a:solidFill>
              <a:ln xmlns:a="http://schemas.openxmlformats.org/drawingml/2006/main">
                <a:prstDash val="solid"/>
              </a:ln>
            </spPr>
          </dPt>
          <dPt>
            <idx val="5"/>
            <spPr>
              <a:solidFill xmlns:a="http://schemas.openxmlformats.org/drawingml/2006/main">
                <a:srgbClr val="A9C6E8"/>
              </a:solidFill>
              <a:ln xmlns:a="http://schemas.openxmlformats.org/drawingml/2006/main">
                <a:prstDash val="solid"/>
              </a:ln>
            </spPr>
          </dPt>
          <dPt>
            <idx val="6"/>
            <spPr>
              <a:solidFill xmlns:a="http://schemas.openxmlformats.org/drawingml/2006/main">
                <a:srgbClr val="D9D9D9"/>
              </a:solidFill>
              <a:ln xmlns:a="http://schemas.openxmlformats.org/drawingml/2006/main">
                <a:prstDash val="solid"/>
              </a:ln>
            </spPr>
          </dPt>
          <cat>
            <numRef>
              <f>'Charts'!$R$56:$R$62</f>
            </numRef>
          </cat>
          <val>
            <numRef>
              <f>'Charts'!$S$56:$S$62</f>
            </numRef>
          </val>
        </ser>
        <dLbls>
          <showPercent val="1"/>
        </dLbls>
        <firstSliceAng val="0"/>
      </pieChart>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1. All aligned money in the race, by cycle</a:t>
            </a:r>
          </a:p>
        </rich>
      </tx>
    </title>
    <plotArea>
      <barChart>
        <barDir val="col"/>
        <grouping val="stacked"/>
        <ser>
          <idx val="0"/>
          <order val="0"/>
          <tx>
            <strRef>
              <f>'History Charts'!S3</f>
            </strRef>
          </tx>
          <spPr>
            <a:solidFill xmlns:a="http://schemas.openxmlformats.org/drawingml/2006/main">
              <a:srgbClr val="2E5FA3"/>
            </a:solidFill>
            <a:ln xmlns:a="http://schemas.openxmlformats.org/drawingml/2006/main">
              <a:solidFill>
                <a:srgbClr val="2E5FA3"/>
              </a:solidFill>
              <a:prstDash val="solid"/>
            </a:ln>
          </spPr>
          <cat>
            <numRef>
              <f>'History Charts'!$R$4:$R$7</f>
            </numRef>
          </cat>
          <val>
            <numRef>
              <f>'History Charts'!$S$4:$S$7</f>
            </numRef>
          </val>
        </ser>
        <ser>
          <idx val="1"/>
          <order val="1"/>
          <tx>
            <strRef>
              <f>'History Charts'!T3</f>
            </strRef>
          </tx>
          <spPr>
            <a:solidFill xmlns:a="http://schemas.openxmlformats.org/drawingml/2006/main">
              <a:srgbClr val="C0392B"/>
            </a:solidFill>
            <a:ln xmlns:a="http://schemas.openxmlformats.org/drawingml/2006/mai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2. Candidate committee receipts, by cycle</a:t>
            </a:r>
          </a:p>
        </rich>
      </tx>
    </title>
    <plotArea>
      <barChart>
        <barDir val="col"/>
        <grouping val="clustered"/>
        <ser>
          <idx val="0"/>
          <order val="0"/>
          <tx>
            <strRef>
              <f>'History Charts'!S10</f>
            </strRef>
          </tx>
          <spPr>
            <a:solidFill xmlns:a="http://schemas.openxmlformats.org/drawingml/2006/main">
              <a:srgbClr val="2E5FA3"/>
            </a:solidFill>
            <a:ln xmlns:a="http://schemas.openxmlformats.org/drawingml/2006/main">
              <a:solidFill>
                <a:srgbClr val="2E5FA3"/>
              </a:solidFill>
              <a:prstDash val="solid"/>
            </a:ln>
          </spPr>
          <cat>
            <numRef>
              <f>'History Charts'!$R$11:$R$14</f>
            </numRef>
          </cat>
          <val>
            <numRef>
              <f>'History Charts'!$S$11:$S$14</f>
            </numRef>
          </val>
        </ser>
        <ser>
          <idx val="1"/>
          <order val="1"/>
          <tx>
            <strRef>
              <f>'History Charts'!T10</f>
            </strRef>
          </tx>
          <spPr>
            <a:solidFill xmlns:a="http://schemas.openxmlformats.org/drawingml/2006/main">
              <a:srgbClr val="C0392B"/>
            </a:solidFill>
            <a:ln xmlns:a="http://schemas.openxmlformats.org/drawingml/2006/mai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3. All aligned money vs result (Model B): positive, but n = 4</a:t>
            </a:r>
          </a:p>
        </rich>
      </tx>
    </title>
    <plotArea>
      <scatterChart>
        <ser>
          <idx val="0"/>
          <order val="0"/>
          <tx>
            <v>Elections 2018 to 2024</v>
          </tx>
          <spPr>
            <a:ln xmlns:a="http://schemas.openxmlformats.org/drawingml/2006/main">
              <a:noFill/>
              <a:prstDash val="solid"/>
            </a:ln>
          </spPr>
          <marker>
            <symbol val="circle"/>
            <size val="9"/>
            <spPr>
              <a:ln xmlns:a="http://schemas.openxmlformats.org/drawingml/2006/mai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4. Candidate fundraising vs result (Model A): no relationship</a:t>
            </a:r>
          </a:p>
        </rich>
      </tx>
    </title>
    <plotArea>
      <scatterChart>
        <ser>
          <idx val="0"/>
          <order val="0"/>
          <tx>
            <v>Elections 2018 to 2024</v>
          </tx>
          <spPr>
            <a:ln xmlns:a="http://schemas.openxmlformats.org/drawingml/2006/main">
              <a:noFill/>
              <a:prstDash val="solid"/>
            </a:ln>
          </spPr>
          <marker>
            <symbol val="circle"/>
            <size val="9"/>
            <spPr>
              <a:ln xmlns:a="http://schemas.openxmlformats.org/drawingml/2006/mai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5. Democratic two-party vote share, by cycle</a:t>
            </a:r>
          </a:p>
        </rich>
      </tx>
    </title>
    <plotArea>
      <lineChart>
        <grouping val="standard"/>
        <ser>
          <idx val="0"/>
          <order val="0"/>
          <tx>
            <strRef>
              <f>'History Charts'!S31</f>
            </strRef>
          </tx>
          <spPr>
            <a:ln xmlns:a="http://schemas.openxmlformats.org/drawingml/2006/main" w="28000">
              <a:solidFill>
                <a:srgbClr val="2E5FA3"/>
              </a:solidFill>
              <a:prstDash val="solid"/>
            </a:ln>
          </spPr>
          <marker>
            <symbol val="circle"/>
            <size val="8"/>
            <spPr>
              <a:ln xmlns:a="http://schemas.openxmlformats.org/drawingml/2006/main">
                <a:prstDash val="solid"/>
              </a:ln>
            </spPr>
          </marker>
          <cat>
            <numRef>
              <f>'History Charts'!$R$32:$R$35</f>
            </numRef>
          </cat>
          <val>
            <numRef>
              <f>'History Charts'!$S$32:$S$35</f>
            </numRef>
          </val>
        </ser>
        <ser>
          <idx val="1"/>
          <order val="1"/>
          <tx>
            <strRef>
              <f>'History Charts'!T31</f>
            </strRef>
          </tx>
          <spPr>
            <a:ln xmlns:a="http://schemas.openxmlformats.org/drawingml/2006/main">
              <a:solidFill>
                <a:srgbClr val="808080"/>
              </a:solidFill>
              <a:prstDash val="dash"/>
            </a:ln>
          </spPr>
          <marker>
            <symbol val="none"/>
            <spPr>
              <a:ln xmlns:a="http://schemas.openxmlformats.org/drawingml/2006/main">
                <a:prstDash val="solid"/>
              </a:ln>
            </spPr>
          </marker>
          <cat>
            <numRef>
              <f>'History Charts'!$R$32:$R$35</f>
            </numRef>
          </cat>
          <val>
            <numRef>
              <f>'History Charts'!$T$32:$T$35</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6. Outside spending now exceeds the candidates' own</a:t>
            </a:r>
          </a:p>
        </rich>
      </tx>
    </title>
    <plotArea>
      <barChart>
        <barDir val="col"/>
        <grouping val="stacked"/>
        <ser>
          <idx val="0"/>
          <order val="0"/>
          <tx>
            <strRef>
              <f>'History Charts'!S38</f>
            </strRef>
          </tx>
          <spPr>
            <a:solidFill xmlns:a="http://schemas.openxmlformats.org/drawingml/2006/main">
              <a:srgbClr val="1F4E79"/>
            </a:solidFill>
            <a:ln xmlns:a="http://schemas.openxmlformats.org/drawingml/2006/main">
              <a:solidFill>
                <a:srgbClr val="1F4E79"/>
              </a:solidFill>
              <a:prstDash val="solid"/>
            </a:ln>
          </spPr>
          <cat>
            <numRef>
              <f>'History Charts'!$R$39:$R$42</f>
            </numRef>
          </cat>
          <val>
            <numRef>
              <f>'History Charts'!$S$39:$S$42</f>
            </numRef>
          </val>
        </ser>
        <ser>
          <idx val="1"/>
          <order val="1"/>
          <tx>
            <strRef>
              <f>'History Charts'!T38</f>
            </strRef>
          </tx>
          <spPr>
            <a:solidFill xmlns:a="http://schemas.openxmlformats.org/drawingml/2006/main">
              <a:srgbClr val="E8A33D"/>
            </a:solidFill>
            <a:ln xmlns:a="http://schemas.openxmlformats.org/drawingml/2006/mai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Election cycle</a:t>
                </a:r>
              </a:p>
            </rich>
          </tx>
        </title>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title>
          <tx>
            <rich>
              <a:bodyPr xmlns:a="http://schemas.openxmlformats.org/drawingml/2006/main"/>
              <a:p xmlns:a="http://schemas.openxmlformats.org/drawingml/2006/main">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7. Receipts per vote received</a:t>
            </a:r>
          </a:p>
        </rich>
      </tx>
    </title>
    <plotArea>
      <barChart>
        <barDir val="bar"/>
        <grouping val="clustered"/>
        <ser>
          <idx val="0"/>
          <order val="0"/>
          <tx>
            <strRef>
              <f>'History Charts'!S45</f>
            </strRef>
          </tx>
          <spPr>
            <a:solidFill xmlns:a="http://schemas.openxmlformats.org/drawingml/2006/main">
              <a:srgbClr val="1F4E79"/>
            </a:solidFill>
            <a:ln xmlns:a="http://schemas.openxmlformats.org/drawingml/2006/main">
              <a:solidFill>
                <a:srgbClr val="1F4E79"/>
              </a:solidFill>
              <a:prstDash val="solid"/>
            </a:ln>
          </spPr>
          <dPt>
            <idx val="0"/>
            <spPr>
              <a:solidFill xmlns:a="http://schemas.openxmlformats.org/drawingml/2006/main">
                <a:srgbClr val="2E5FA3"/>
              </a:solidFill>
              <a:ln xmlns:a="http://schemas.openxmlformats.org/drawingml/2006/main">
                <a:prstDash val="solid"/>
              </a:ln>
            </spPr>
          </dPt>
          <dPt>
            <idx val="1"/>
            <spPr>
              <a:solidFill xmlns:a="http://schemas.openxmlformats.org/drawingml/2006/main">
                <a:srgbClr val="C0392B"/>
              </a:solidFill>
              <a:ln xmlns:a="http://schemas.openxmlformats.org/drawingml/2006/main">
                <a:prstDash val="solid"/>
              </a:ln>
            </spPr>
          </dPt>
          <dPt>
            <idx val="2"/>
            <spPr>
              <a:solidFill xmlns:a="http://schemas.openxmlformats.org/drawingml/2006/main">
                <a:srgbClr val="2E5FA3"/>
              </a:solidFill>
              <a:ln xmlns:a="http://schemas.openxmlformats.org/drawingml/2006/main">
                <a:prstDash val="solid"/>
              </a:ln>
            </spPr>
          </dPt>
          <dPt>
            <idx val="3"/>
            <spPr>
              <a:solidFill xmlns:a="http://schemas.openxmlformats.org/drawingml/2006/main">
                <a:srgbClr val="C0392B"/>
              </a:solidFill>
              <a:ln xmlns:a="http://schemas.openxmlformats.org/drawingml/2006/main">
                <a:prstDash val="solid"/>
              </a:ln>
            </spPr>
          </dPt>
          <dPt>
            <idx val="4"/>
            <spPr>
              <a:solidFill xmlns:a="http://schemas.openxmlformats.org/drawingml/2006/main">
                <a:srgbClr val="2E5FA3"/>
              </a:solidFill>
              <a:ln xmlns:a="http://schemas.openxmlformats.org/drawingml/2006/main">
                <a:prstDash val="solid"/>
              </a:ln>
            </spPr>
          </dPt>
          <dPt>
            <idx val="5"/>
            <spPr>
              <a:solidFill xmlns:a="http://schemas.openxmlformats.org/drawingml/2006/main">
                <a:srgbClr val="C0392B"/>
              </a:solidFill>
              <a:ln xmlns:a="http://schemas.openxmlformats.org/drawingml/2006/main">
                <a:prstDash val="solid"/>
              </a:ln>
            </spPr>
          </dPt>
          <dPt>
            <idx val="6"/>
            <spPr>
              <a:solidFill xmlns:a="http://schemas.openxmlformats.org/drawingml/2006/main">
                <a:srgbClr val="2E5FA3"/>
              </a:solidFill>
              <a:ln xmlns:a="http://schemas.openxmlformats.org/drawingml/2006/main">
                <a:prstDash val="solid"/>
              </a:ln>
            </spPr>
          </dPt>
          <dPt>
            <idx val="7"/>
            <spPr>
              <a:solidFill xmlns:a="http://schemas.openxmlformats.org/drawingml/2006/main">
                <a:srgbClr val="C0392B"/>
              </a:solidFill>
              <a:ln xmlns:a="http://schemas.openxmlformats.org/drawingml/2006/main">
                <a:prstDash val="solid"/>
              </a:ln>
            </spPr>
          </dPt>
          <cat>
            <numRef>
              <f>'History Charts'!$R$46:$R$53</f>
            </numRef>
          </cat>
          <val>
            <numRef>
              <f>'History Charts'!$S$46:$S$53</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xmlns:a="http://schemas.openxmlformats.org/drawingml/2006/mai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 Type="http://schemas.openxmlformats.org/officeDocument/2006/relationships/chart" Target="/xl/charts/chart11.xml" Id="rId5"/><Relationship Type="http://schemas.openxmlformats.org/officeDocument/2006/relationships/chart" Target="/xl/charts/chart12.xml" Id="rId6"/><Relationship Type="http://schemas.openxmlformats.org/officeDocument/2006/relationships/chart" Target="/xl/charts/chart13.xml" Id="rId7"/></Relationships>
</file>

<file path=xl/drawings/drawing1.xml><?xml version="1.0" encoding="utf-8"?>
<wsDr xmlns="http://schemas.openxmlformats.org/drawingml/2006/spreadsheetDrawing">
  <oneCellAnchor>
    <from>
      <col>0</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26</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92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98</row>
      <rowOff>0</rowOff>
    </from>
    <ext cx="9360000" cy="432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123</row>
      <rowOff>0</rowOff>
    </from>
    <ext cx="7200000" cy="43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wsDr xmlns="http://schemas.openxmlformats.org/drawingml/2006/spreadsheetDrawing">
  <oneCellAnchor>
    <from>
      <col>0</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26</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74</row>
      <rowOff>0</rowOff>
    </from>
    <ext cx="7920000" cy="43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99</row>
      <rowOff>0</rowOff>
    </from>
    <ext cx="792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122</row>
      <rowOff>0</rowOff>
    </from>
    <ext cx="792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145</row>
      <rowOff>0</rowOff>
    </from>
    <ext cx="7920000" cy="46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F3864"/>
    <outlinePr summaryBelow="1" summaryRight="1"/>
    <pageSetUpPr/>
  </sheetPr>
  <dimension ref="A1:H57"/>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2026-09-17T15:59:52Z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in the race</t>
        </is>
      </c>
      <c r="B21" s="16">
        <f>'Outside Money'!D38</f>
        <v/>
      </c>
      <c r="C21" s="20" t="n"/>
      <c r="D21" s="21">
        <f>'Outside Money'!D62</f>
        <v/>
      </c>
    </row>
    <row r="22">
      <c r="A22" s="14" t="inlineStr">
        <is>
          <t>Ryan Mackenzie, supports</t>
        </is>
      </c>
      <c r="B22" s="12">
        <f>'Outside Money'!C42</f>
        <v/>
      </c>
      <c r="C22" s="22">
        <f>IFERROR(B22/$B$21,"")</f>
        <v/>
      </c>
      <c r="D22" s="23">
        <f>'Outside Money'!D42</f>
        <v/>
      </c>
    </row>
    <row r="23">
      <c r="A23" s="14" t="inlineStr">
        <is>
          <t>Ryan Mackenzie, opposes</t>
        </is>
      </c>
      <c r="B23" s="12">
        <f>'Outside Money'!C43</f>
        <v/>
      </c>
      <c r="C23" s="22">
        <f>IFERROR(B23/$B$21,"")</f>
        <v/>
      </c>
      <c r="D23" s="23">
        <f>'Outside Money'!D43</f>
        <v/>
      </c>
    </row>
    <row r="24">
      <c r="A24" s="14" t="inlineStr">
        <is>
          <t>Bob Brooks, supports</t>
        </is>
      </c>
      <c r="B24" s="12">
        <f>'Outside Money'!C44</f>
        <v/>
      </c>
      <c r="C24" s="22">
        <f>IFERROR(B24/$B$21,"")</f>
        <v/>
      </c>
      <c r="D24" s="23">
        <f>'Outside Money'!D44</f>
        <v/>
      </c>
    </row>
    <row r="25">
      <c r="A25" s="14" t="inlineStr">
        <is>
          <t>Bob Brooks, opposes</t>
        </is>
      </c>
      <c r="B25" s="12">
        <f>'Outside Money'!C45</f>
        <v/>
      </c>
      <c r="C25" s="22">
        <f>IFERROR(B25/$B$21,"")</f>
        <v/>
      </c>
      <c r="D25" s="23">
        <f>'Outside Money'!D45</f>
        <v/>
      </c>
    </row>
    <row r="26">
      <c r="A26" s="14" t="inlineStr">
        <is>
          <t>Ryan Crosswell, supports</t>
        </is>
      </c>
      <c r="B26" s="12">
        <f>'Outside Money'!C46</f>
        <v/>
      </c>
      <c r="C26" s="22">
        <f>IFERROR(B26/$B$21,"")</f>
        <v/>
      </c>
      <c r="D26" s="23">
        <f>'Outside Money'!D46</f>
        <v/>
      </c>
    </row>
    <row r="27">
      <c r="A27" s="14" t="inlineStr">
        <is>
          <t>Ryan Crosswell, opposes</t>
        </is>
      </c>
      <c r="B27" s="12">
        <f>'Outside Money'!C47</f>
        <v/>
      </c>
      <c r="C27" s="22">
        <f>IFERROR(B27/$B$21,"")</f>
        <v/>
      </c>
      <c r="D27" s="23">
        <f>'Outside Money'!D47</f>
        <v/>
      </c>
    </row>
    <row r="28">
      <c r="A28" s="14" t="inlineStr">
        <is>
          <t>Carol Obando-Derstine, supports</t>
        </is>
      </c>
      <c r="B28" s="12">
        <f>'Outside Money'!C48</f>
        <v/>
      </c>
      <c r="C28" s="22">
        <f>IFERROR(B28/$B$21,"")</f>
        <v/>
      </c>
      <c r="D28" s="23">
        <f>'Outside Money'!D48</f>
        <v/>
      </c>
    </row>
    <row r="29">
      <c r="A29" s="14" t="inlineStr">
        <is>
          <t>Carol Obando-Derstine, opposes</t>
        </is>
      </c>
      <c r="B29" s="12">
        <f>'Outside Money'!C49</f>
        <v/>
      </c>
      <c r="C29" s="22">
        <f>IFERROR(B29/$B$21,"")</f>
        <v/>
      </c>
      <c r="D29" s="23">
        <f>'Outside Money'!D49</f>
        <v/>
      </c>
    </row>
    <row r="30">
      <c r="A30" s="14" t="inlineStr">
        <is>
          <t>Lamont McClure, supports</t>
        </is>
      </c>
      <c r="B30" s="12">
        <f>'Outside Money'!C50</f>
        <v/>
      </c>
      <c r="C30" s="22">
        <f>IFERROR(B30/$B$21,"")</f>
        <v/>
      </c>
      <c r="D30" s="23">
        <f>'Outside Money'!D50</f>
        <v/>
      </c>
    </row>
    <row r="31">
      <c r="A31" s="14" t="inlineStr">
        <is>
          <t>Lamont McClure, opposes</t>
        </is>
      </c>
      <c r="B31" s="12">
        <f>'Outside Money'!C51</f>
        <v/>
      </c>
      <c r="C31" s="22">
        <f>IFERROR(B31/$B$21,"")</f>
        <v/>
      </c>
      <c r="D31" s="23">
        <f>'Outside Money'!D51</f>
        <v/>
      </c>
    </row>
    <row r="32">
      <c r="A32" s="14" t="inlineStr">
        <is>
          <t>Mark Pinsley, supports</t>
        </is>
      </c>
      <c r="B32" s="12">
        <f>'Outside Money'!C52</f>
        <v/>
      </c>
      <c r="C32" s="22">
        <f>IFERROR(B32/$B$21,"")</f>
        <v/>
      </c>
      <c r="D32" s="23">
        <f>'Outside Money'!D52</f>
        <v/>
      </c>
    </row>
    <row r="33">
      <c r="A33" s="14" t="inlineStr">
        <is>
          <t>Mark Pinsley, opposes</t>
        </is>
      </c>
      <c r="B33" s="12">
        <f>'Outside Money'!C53</f>
        <v/>
      </c>
      <c r="C33" s="22">
        <f>IFERROR(B33/$B$21,"")</f>
        <v/>
      </c>
      <c r="D33" s="23">
        <f>'Outside Money'!D53</f>
        <v/>
      </c>
    </row>
    <row r="34">
      <c r="A34" s="14" t="inlineStr">
        <is>
          <t>Frank Golden, supports</t>
        </is>
      </c>
      <c r="B34" s="12">
        <f>'Outside Money'!C54</f>
        <v/>
      </c>
      <c r="C34" s="22">
        <f>IFERROR(B34/$B$21,"")</f>
        <v/>
      </c>
      <c r="D34" s="23">
        <f>'Outside Money'!D54</f>
        <v/>
      </c>
    </row>
    <row r="35">
      <c r="A35" s="14" t="inlineStr">
        <is>
          <t>Frank Golden, opposes</t>
        </is>
      </c>
      <c r="B35" s="12">
        <f>'Outside Money'!C55</f>
        <v/>
      </c>
      <c r="C35" s="22">
        <f>IFERROR(B35/$B$21,"")</f>
        <v/>
      </c>
      <c r="D35" s="23">
        <f>'Outside Money'!D55</f>
        <v/>
      </c>
    </row>
    <row r="36">
      <c r="A36" s="14" t="inlineStr">
        <is>
          <t>Aiden Alexander Gonzalez, supports</t>
        </is>
      </c>
      <c r="B36" s="12">
        <f>'Outside Money'!C56</f>
        <v/>
      </c>
      <c r="C36" s="22">
        <f>IFERROR(B36/$B$21,"")</f>
        <v/>
      </c>
      <c r="D36" s="23">
        <f>'Outside Money'!D56</f>
        <v/>
      </c>
    </row>
    <row r="37">
      <c r="A37" s="14" t="inlineStr">
        <is>
          <t>Aiden Alexander Gonzalez, opposes</t>
        </is>
      </c>
      <c r="B37" s="12">
        <f>'Outside Money'!C57</f>
        <v/>
      </c>
      <c r="C37" s="22">
        <f>IFERROR(B37/$B$21,"")</f>
        <v/>
      </c>
      <c r="D37" s="23">
        <f>'Outside Money'!D57</f>
        <v/>
      </c>
    </row>
    <row r="38">
      <c r="A38" s="14" t="inlineStr">
        <is>
          <t>Michael Ramon Granados Jr., supports</t>
        </is>
      </c>
      <c r="B38" s="12">
        <f>'Outside Money'!C58</f>
        <v/>
      </c>
      <c r="C38" s="22">
        <f>IFERROR(B38/$B$21,"")</f>
        <v/>
      </c>
      <c r="D38" s="23">
        <f>'Outside Money'!D58</f>
        <v/>
      </c>
    </row>
    <row r="39">
      <c r="A39" s="14" t="inlineStr">
        <is>
          <t>Michael Ramon Granados Jr., opposes</t>
        </is>
      </c>
      <c r="B39" s="12">
        <f>'Outside Money'!C59</f>
        <v/>
      </c>
      <c r="C39" s="22">
        <f>IFERROR(B39/$B$21,"")</f>
        <v/>
      </c>
      <c r="D39" s="23">
        <f>'Outside Money'!D59</f>
        <v/>
      </c>
    </row>
    <row r="40">
      <c r="A40" s="14" t="inlineStr">
        <is>
          <t>Lewis Shupe, supports</t>
        </is>
      </c>
      <c r="B40" s="12">
        <f>'Outside Money'!C60</f>
        <v/>
      </c>
      <c r="C40" s="22">
        <f>IFERROR(B40/$B$21,"")</f>
        <v/>
      </c>
      <c r="D40" s="23">
        <f>'Outside Money'!D60</f>
        <v/>
      </c>
    </row>
    <row r="41">
      <c r="A41" s="14" t="inlineStr">
        <is>
          <t>Lewis Shupe, opposes</t>
        </is>
      </c>
      <c r="B41" s="12">
        <f>'Outside Money'!C61</f>
        <v/>
      </c>
      <c r="C41" s="22">
        <f>IFERROR(B41/$B$21,"")</f>
        <v/>
      </c>
      <c r="D41" s="23">
        <f>'Outside Money'!D61</f>
        <v/>
      </c>
    </row>
    <row r="43" ht="18" customHeight="1">
      <c r="A43" s="3" t="inlineStr">
        <is>
          <t>THE LAST FOUR ELECTIONS</t>
        </is>
      </c>
      <c r="B43" s="4" t="n"/>
      <c r="C43" s="4" t="n"/>
      <c r="D43" s="4" t="n"/>
      <c r="E43" s="4" t="n"/>
      <c r="F43" s="4" t="n"/>
      <c r="G43" s="4" t="n"/>
      <c r="H43" s="4" t="n"/>
    </row>
    <row r="44">
      <c r="A44" s="24" t="inlineStr"/>
      <c r="B44" s="25" t="inlineStr">
        <is>
          <t>2018</t>
        </is>
      </c>
      <c r="C44" s="25" t="inlineStr">
        <is>
          <t>2020</t>
        </is>
      </c>
      <c r="D44" s="25" t="inlineStr">
        <is>
          <t>2022</t>
        </is>
      </c>
      <c r="E44" s="25" t="inlineStr">
        <is>
          <t>2024</t>
        </is>
      </c>
    </row>
    <row r="45">
      <c r="A45" s="14" t="inlineStr">
        <is>
          <t>Democratic share of candidate receipts</t>
        </is>
      </c>
      <c r="B45" s="26">
        <f>'Money vs Results'!D6</f>
        <v/>
      </c>
      <c r="C45" s="26">
        <f>'Money vs Results'!D7</f>
        <v/>
      </c>
      <c r="D45" s="26">
        <f>'Money vs Results'!D8</f>
        <v/>
      </c>
      <c r="E45" s="26">
        <f>'Money vs Results'!D9</f>
        <v/>
      </c>
    </row>
    <row r="46">
      <c r="A46" s="14" t="inlineStr">
        <is>
          <t>Democratic share of all aligned money</t>
        </is>
      </c>
      <c r="B46" s="26">
        <f>'Money vs Results'!G6</f>
        <v/>
      </c>
      <c r="C46" s="26">
        <f>'Money vs Results'!G7</f>
        <v/>
      </c>
      <c r="D46" s="26">
        <f>'Money vs Results'!G8</f>
        <v/>
      </c>
      <c r="E46" s="26">
        <f>'Money vs Results'!G9</f>
        <v/>
      </c>
    </row>
    <row r="47">
      <c r="A47" s="14" t="inlineStr">
        <is>
          <t>Democratic two-party vote share</t>
        </is>
      </c>
      <c r="B47" s="26">
        <f>'Money vs Results'!H6</f>
        <v/>
      </c>
      <c r="C47" s="26">
        <f>'Money vs Results'!H7</f>
        <v/>
      </c>
      <c r="D47" s="26">
        <f>'Money vs Results'!H8</f>
        <v/>
      </c>
      <c r="E47" s="26">
        <f>'Money vs Results'!H9</f>
        <v/>
      </c>
    </row>
    <row r="48">
      <c r="A48" s="11" t="inlineStr">
        <is>
          <t>Democratic result</t>
        </is>
      </c>
      <c r="B48" s="27" t="inlineStr">
        <is>
          <t>won</t>
        </is>
      </c>
      <c r="C48" s="27" t="inlineStr">
        <is>
          <t>won</t>
        </is>
      </c>
      <c r="D48" s="27" t="inlineStr">
        <is>
          <t>won</t>
        </is>
      </c>
      <c r="E48" s="27" t="inlineStr">
        <is>
          <t>lost</t>
        </is>
      </c>
    </row>
    <row r="50">
      <c r="A50" s="14" t="inlineStr">
        <is>
          <t>Correlation, candidate receipts share vs vote share (Model A)</t>
        </is>
      </c>
      <c r="B50" s="28">
        <f>'Money vs Results'!B14</f>
        <v/>
      </c>
      <c r="C50" s="29">
        <f>'Money vs Results'!B20</f>
        <v/>
      </c>
    </row>
    <row r="51">
      <c r="A51" s="14" t="inlineStr">
        <is>
          <t>Correlation, all aligned money share vs vote share (Model B)</t>
        </is>
      </c>
      <c r="B51" s="28">
        <f>'Money vs Results'!C14</f>
        <v/>
      </c>
      <c r="C51" s="29">
        <f>'Money vs Results'!C20</f>
        <v/>
      </c>
    </row>
    <row r="53" ht="18" customHeight="1">
      <c r="A53" s="3" t="inlineStr">
        <is>
          <t>TWO FACTS THE MONEY MUST BE READ WITH</t>
        </is>
      </c>
      <c r="B53" s="4" t="n"/>
      <c r="C53" s="4" t="n"/>
      <c r="D53" s="4" t="n"/>
      <c r="E53" s="4" t="n"/>
      <c r="F53" s="4" t="n"/>
      <c r="G53" s="4" t="n"/>
      <c r="H53" s="4" t="n"/>
    </row>
    <row r="54" ht="50" customHeight="1">
      <c r="A54"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54" s="31" t="n"/>
      <c r="C54" s="31" t="n"/>
      <c r="D54" s="31" t="n"/>
      <c r="E54" s="31" t="n"/>
      <c r="F54" s="31" t="n"/>
      <c r="G54" s="31" t="n"/>
      <c r="H54" s="31" t="n"/>
    </row>
    <row r="55" ht="62" customHeight="1">
      <c r="A55"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55" s="31" t="n"/>
      <c r="C55" s="31" t="n"/>
      <c r="D55" s="31" t="n"/>
      <c r="E55" s="31" t="n"/>
      <c r="F55" s="31" t="n"/>
      <c r="G55" s="31" t="n"/>
      <c r="H55" s="31" t="n"/>
    </row>
    <row r="57" ht="24" customHeight="1">
      <c r="A57" s="32" t="inlineStr">
        <is>
          <t>Green figures link to other sheets. Navy figures are computed here. Nothing on this sheet is typed in by hand.</t>
        </is>
      </c>
    </row>
  </sheetData>
  <mergeCells count="3">
    <mergeCell ref="A57:H57"/>
    <mergeCell ref="A54:H54"/>
    <mergeCell ref="A55:H5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Y62"/>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3" t="inlineStr">
        <is>
          <t>CHART 1: receipts, spending and cash</t>
        </is>
      </c>
    </row>
    <row r="3">
      <c r="R3" s="34" t="inlineStr">
        <is>
          <t>Metric</t>
        </is>
      </c>
      <c r="S3" s="34" t="inlineStr">
        <is>
          <t>Bob Brooks (D)</t>
        </is>
      </c>
      <c r="T3" s="34" t="inlineStr">
        <is>
          <t>Ryan Mackenzie (R)</t>
        </is>
      </c>
    </row>
    <row r="4">
      <c r="R4" s="5" t="inlineStr">
        <is>
          <t>Receipts</t>
        </is>
      </c>
      <c r="S4" s="35">
        <f>'Money Sources'!B30</f>
        <v/>
      </c>
      <c r="T4" s="35">
        <f>'Money Sources'!C30</f>
        <v/>
      </c>
    </row>
    <row r="5">
      <c r="R5" s="5" t="inlineStr">
        <is>
          <t>Disbursements</t>
        </is>
      </c>
      <c r="S5" s="35">
        <f>'Money Sources'!B31</f>
        <v/>
      </c>
      <c r="T5" s="35">
        <f>'Money Sources'!C31</f>
        <v/>
      </c>
    </row>
    <row r="6">
      <c r="R6" s="5" t="inlineStr">
        <is>
          <t>Cash on hand</t>
        </is>
      </c>
      <c r="S6" s="35">
        <f>'Money Sources'!B32</f>
        <v/>
      </c>
      <c r="T6" s="35">
        <f>'Money Sources'!C32</f>
        <v/>
      </c>
    </row>
    <row r="8">
      <c r="R8" s="33" t="inlineStr">
        <is>
          <t>CHART 2: receipts by source</t>
        </is>
      </c>
    </row>
    <row r="9">
      <c r="R9" s="34" t="inlineStr">
        <is>
          <t>Candidate</t>
        </is>
      </c>
      <c r="S9" s="34" t="inlineStr">
        <is>
          <t>Individual, itemized (over $200)</t>
        </is>
      </c>
      <c r="T9" s="34" t="inlineStr">
        <is>
          <t>Individual, unitemized ($200 or less)</t>
        </is>
      </c>
      <c r="U9" s="34" t="inlineStr">
        <is>
          <t>PAC contributions</t>
        </is>
      </c>
      <c r="V9" s="34" t="inlineStr">
        <is>
          <t>Party committee</t>
        </is>
      </c>
      <c r="W9" s="34" t="inlineStr">
        <is>
          <t>Transfers from another authorized committee</t>
        </is>
      </c>
      <c r="X9" s="34" t="inlineStr">
        <is>
          <t>Candidate self-funding</t>
        </is>
      </c>
      <c r="Y9" s="34" t="inlineStr">
        <is>
          <t>Other / unclassified</t>
        </is>
      </c>
    </row>
    <row r="10">
      <c r="R10" s="5" t="inlineStr">
        <is>
          <t>Bob Brooks (D)</t>
        </is>
      </c>
      <c r="S10" s="35">
        <f>'Money Sources'!B6</f>
        <v/>
      </c>
      <c r="T10" s="35">
        <f>'Money Sources'!B7</f>
        <v/>
      </c>
      <c r="U10" s="35">
        <f>'Money Sources'!B8</f>
        <v/>
      </c>
      <c r="V10" s="35">
        <f>'Money Sources'!B9</f>
        <v/>
      </c>
      <c r="W10" s="35">
        <f>'Money Sources'!B10</f>
        <v/>
      </c>
      <c r="X10" s="35">
        <f>'Money Sources'!B11</f>
        <v/>
      </c>
      <c r="Y10" s="35">
        <f>'Money Sources'!B12</f>
        <v/>
      </c>
    </row>
    <row r="11">
      <c r="R11" s="5" t="inlineStr">
        <is>
          <t>Ryan Mackenzie (R)</t>
        </is>
      </c>
      <c r="S11" s="35">
        <f>'Money Sources'!C6</f>
        <v/>
      </c>
      <c r="T11" s="35">
        <f>'Money Sources'!C7</f>
        <v/>
      </c>
      <c r="U11" s="35">
        <f>'Money Sources'!C8</f>
        <v/>
      </c>
      <c r="V11" s="35">
        <f>'Money Sources'!C9</f>
        <v/>
      </c>
      <c r="W11" s="35">
        <f>'Money Sources'!C10</f>
        <v/>
      </c>
      <c r="X11" s="35">
        <f>'Money Sources'!C11</f>
        <v/>
      </c>
      <c r="Y11" s="35">
        <f>'Money Sources'!C12</f>
        <v/>
      </c>
    </row>
    <row r="13">
      <c r="R13" s="33" t="inlineStr">
        <is>
          <t>CHART 3: headline receipts against receipts excluding transfers</t>
        </is>
      </c>
    </row>
    <row r="14">
      <c r="R14" s="34" t="inlineStr">
        <is>
          <t>Measure</t>
        </is>
      </c>
      <c r="S14" s="34" t="inlineStr">
        <is>
          <t>Bob Brooks (D)</t>
        </is>
      </c>
      <c r="T14" s="34" t="inlineStr">
        <is>
          <t>Ryan Mackenzie (R)</t>
        </is>
      </c>
    </row>
    <row r="15">
      <c r="R15" s="5" t="inlineStr">
        <is>
          <t>Receipts as reported</t>
        </is>
      </c>
      <c r="S15" s="35">
        <f>'Money Sources'!B18</f>
        <v/>
      </c>
      <c r="T15" s="35">
        <f>'Money Sources'!C18</f>
        <v/>
      </c>
    </row>
    <row r="16">
      <c r="R16" s="5" t="inlineStr">
        <is>
          <t>Excluding committee transfers</t>
        </is>
      </c>
      <c r="S16" s="35">
        <f>'Money Sources'!B20</f>
        <v/>
      </c>
      <c r="T16" s="35">
        <f>'Money Sources'!C20</f>
        <v/>
      </c>
    </row>
    <row r="18">
      <c r="R18" s="33" t="inlineStr">
        <is>
          <t>CHART 4: ten largest outside spenders</t>
        </is>
      </c>
    </row>
    <row r="19">
      <c r="R19" s="34" t="inlineStr">
        <is>
          <t>Committee</t>
        </is>
      </c>
      <c r="S19" s="34" t="inlineStr">
        <is>
          <t>Independent expenditure</t>
        </is>
      </c>
    </row>
    <row r="20">
      <c r="R20" s="5" t="inlineStr">
        <is>
          <t>Stronger Together PA (supports Brooks)</t>
        </is>
      </c>
      <c r="S20" s="35">
        <f>'Outside Money'!D6</f>
        <v/>
      </c>
    </row>
    <row r="21">
      <c r="R21" s="5" t="inlineStr">
        <is>
          <t>Lead Left PAC (supports McClure)</t>
        </is>
      </c>
      <c r="S21" s="35">
        <f>'Outside Money'!D7</f>
        <v/>
      </c>
    </row>
    <row r="22">
      <c r="R22" s="5" t="inlineStr">
        <is>
          <t>Lead Left PAC (opposes Brooks)</t>
        </is>
      </c>
      <c r="S22" s="35">
        <f>'Outside Money'!D8</f>
        <v/>
      </c>
    </row>
    <row r="23">
      <c r="R23" s="5" t="inlineStr">
        <is>
          <t>Lead Left PAC (opposes Crosswell)</t>
        </is>
      </c>
      <c r="S23" s="35">
        <f>'Outside Money'!D9</f>
        <v/>
      </c>
    </row>
    <row r="24">
      <c r="R24" s="5" t="inlineStr">
        <is>
          <t>Jobs and Democracy PAC (supports Brooks)</t>
        </is>
      </c>
      <c r="S24" s="35">
        <f>'Outside Money'!D10</f>
        <v/>
      </c>
    </row>
    <row r="25">
      <c r="R25" s="5" t="inlineStr">
        <is>
          <t>Congressional Progressive Caucus PAC (supports Brooks)</t>
        </is>
      </c>
      <c r="S25" s="35">
        <f>'Outside Money'!D11</f>
        <v/>
      </c>
    </row>
    <row r="26">
      <c r="R26" s="5" t="inlineStr">
        <is>
          <t>Integrity PAC (supports Crosswell)</t>
        </is>
      </c>
      <c r="S26" s="35">
        <f>'Outside Money'!D12</f>
        <v/>
      </c>
    </row>
    <row r="27">
      <c r="R27" s="5" t="inlineStr">
        <is>
          <t>Medicare for All (supports Brooks)</t>
        </is>
      </c>
      <c r="S27" s="35">
        <f>'Outside Money'!D13</f>
        <v/>
      </c>
    </row>
    <row r="28">
      <c r="R28" s="5" t="inlineStr">
        <is>
          <t>DLP PAC (supports Brooks)</t>
        </is>
      </c>
      <c r="S28" s="35">
        <f>'Outside Money'!D14</f>
        <v/>
      </c>
    </row>
    <row r="29">
      <c r="R29" s="5" t="inlineStr">
        <is>
          <t>Renew Northeast PAC (opposes Crosswell)</t>
        </is>
      </c>
      <c r="S29" s="35">
        <f>'Outside Money'!D15</f>
        <v/>
      </c>
    </row>
    <row r="31">
      <c r="R31" s="33" t="inlineStr">
        <is>
          <t>CHART 5: outside spending by target and stance</t>
        </is>
      </c>
    </row>
    <row r="32">
      <c r="R32" s="34" t="inlineStr">
        <is>
          <t>Target and stance</t>
        </is>
      </c>
      <c r="S32" s="34" t="inlineStr">
        <is>
          <t>Amount</t>
        </is>
      </c>
    </row>
    <row r="33">
      <c r="R33" s="5" t="inlineStr">
        <is>
          <t>Mackenzie, supports</t>
        </is>
      </c>
      <c r="S33" s="35">
        <f>'Outside Money'!C42</f>
        <v/>
      </c>
    </row>
    <row r="34">
      <c r="R34" s="5" t="inlineStr">
        <is>
          <t>Mackenzie, opposes</t>
        </is>
      </c>
      <c r="S34" s="35">
        <f>'Outside Money'!C43</f>
        <v/>
      </c>
    </row>
    <row r="35">
      <c r="R35" s="5" t="inlineStr">
        <is>
          <t>Brooks, supports</t>
        </is>
      </c>
      <c r="S35" s="35">
        <f>'Outside Money'!C44</f>
        <v/>
      </c>
    </row>
    <row r="36">
      <c r="R36" s="5" t="inlineStr">
        <is>
          <t>Brooks, opposes</t>
        </is>
      </c>
      <c r="S36" s="35">
        <f>'Outside Money'!C45</f>
        <v/>
      </c>
    </row>
    <row r="37">
      <c r="R37" s="5" t="inlineStr">
        <is>
          <t>Crosswell, supports</t>
        </is>
      </c>
      <c r="S37" s="35">
        <f>'Outside Money'!C46</f>
        <v/>
      </c>
    </row>
    <row r="38">
      <c r="R38" s="5" t="inlineStr">
        <is>
          <t>Crosswell, opposes</t>
        </is>
      </c>
      <c r="S38" s="35">
        <f>'Outside Money'!C47</f>
        <v/>
      </c>
    </row>
    <row r="39">
      <c r="R39" s="5" t="inlineStr">
        <is>
          <t>Obando-Derstine, supports</t>
        </is>
      </c>
      <c r="S39" s="35">
        <f>'Outside Money'!C48</f>
        <v/>
      </c>
    </row>
    <row r="40">
      <c r="R40" s="5" t="inlineStr">
        <is>
          <t>Obando-Derstine, opposes</t>
        </is>
      </c>
      <c r="S40" s="35">
        <f>'Outside Money'!C49</f>
        <v/>
      </c>
    </row>
    <row r="41">
      <c r="R41" s="5" t="inlineStr">
        <is>
          <t>McClure, supports</t>
        </is>
      </c>
      <c r="S41" s="35">
        <f>'Outside Money'!C50</f>
        <v/>
      </c>
    </row>
    <row r="42">
      <c r="R42" s="5" t="inlineStr">
        <is>
          <t>McClure, opposes</t>
        </is>
      </c>
      <c r="S42" s="35">
        <f>'Outside Money'!C51</f>
        <v/>
      </c>
    </row>
    <row r="43">
      <c r="R43" s="5" t="inlineStr">
        <is>
          <t>Pinsley, supports</t>
        </is>
      </c>
      <c r="S43" s="35">
        <f>'Outside Money'!C52</f>
        <v/>
      </c>
    </row>
    <row r="44">
      <c r="R44" s="5" t="inlineStr">
        <is>
          <t>Pinsley, opposes</t>
        </is>
      </c>
      <c r="S44" s="35">
        <f>'Outside Money'!C53</f>
        <v/>
      </c>
    </row>
    <row r="45">
      <c r="R45" s="5" t="inlineStr">
        <is>
          <t>Golden, supports</t>
        </is>
      </c>
      <c r="S45" s="35">
        <f>'Outside Money'!C54</f>
        <v/>
      </c>
    </row>
    <row r="46">
      <c r="R46" s="5" t="inlineStr">
        <is>
          <t>Golden, opposes</t>
        </is>
      </c>
      <c r="S46" s="35">
        <f>'Outside Money'!C55</f>
        <v/>
      </c>
    </row>
    <row r="47">
      <c r="R47" s="5" t="inlineStr">
        <is>
          <t>Gonzalez, supports</t>
        </is>
      </c>
      <c r="S47" s="35">
        <f>'Outside Money'!C56</f>
        <v/>
      </c>
    </row>
    <row r="48">
      <c r="R48" s="5" t="inlineStr">
        <is>
          <t>Gonzalez, opposes</t>
        </is>
      </c>
      <c r="S48" s="35">
        <f>'Outside Money'!C57</f>
        <v/>
      </c>
    </row>
    <row r="49">
      <c r="R49" s="5" t="inlineStr">
        <is>
          <t>Jr., supports</t>
        </is>
      </c>
      <c r="S49" s="35">
        <f>'Outside Money'!C58</f>
        <v/>
      </c>
    </row>
    <row r="50">
      <c r="R50" s="5" t="inlineStr">
        <is>
          <t>Jr., opposes</t>
        </is>
      </c>
      <c r="S50" s="35">
        <f>'Outside Money'!C59</f>
        <v/>
      </c>
    </row>
    <row r="51">
      <c r="R51" s="5" t="inlineStr">
        <is>
          <t>Shupe, supports</t>
        </is>
      </c>
      <c r="S51" s="35">
        <f>'Outside Money'!C60</f>
        <v/>
      </c>
    </row>
    <row r="52">
      <c r="R52" s="5" t="inlineStr">
        <is>
          <t>Shupe, opposes</t>
        </is>
      </c>
      <c r="S52" s="35">
        <f>'Outside Money'!C61</f>
        <v/>
      </c>
    </row>
    <row r="54">
      <c r="R54" s="33" t="inlineStr">
        <is>
          <t>CHART 6: concentration of outside spending</t>
        </is>
      </c>
    </row>
    <row r="55">
      <c r="R55" s="34" t="inlineStr">
        <is>
          <t>Committee</t>
        </is>
      </c>
      <c r="S55" s="34" t="inlineStr">
        <is>
          <t>Outside spending</t>
        </is>
      </c>
    </row>
    <row r="56">
      <c r="R56" s="5" t="inlineStr">
        <is>
          <t>Stronger Together PA</t>
        </is>
      </c>
      <c r="S56" s="35">
        <f>'Outside Money'!D6</f>
        <v/>
      </c>
    </row>
    <row r="57">
      <c r="R57" s="5" t="inlineStr">
        <is>
          <t>Lead Left PAC</t>
        </is>
      </c>
      <c r="S57" s="35">
        <f>'Outside Money'!D7</f>
        <v/>
      </c>
    </row>
    <row r="58">
      <c r="R58" s="5" t="inlineStr">
        <is>
          <t>Lead Left PAC</t>
        </is>
      </c>
      <c r="S58" s="35">
        <f>'Outside Money'!D8</f>
        <v/>
      </c>
    </row>
    <row r="59">
      <c r="R59" s="5" t="inlineStr">
        <is>
          <t>Lead Left PAC</t>
        </is>
      </c>
      <c r="S59" s="35">
        <f>'Outside Money'!D9</f>
        <v/>
      </c>
    </row>
    <row r="60">
      <c r="R60" s="5" t="inlineStr">
        <is>
          <t>Jobs and Democracy PAC</t>
        </is>
      </c>
      <c r="S60" s="35">
        <f>'Outside Money'!D10</f>
        <v/>
      </c>
    </row>
    <row r="61">
      <c r="R61" s="5" t="inlineStr">
        <is>
          <t>Congressional Progressive Caucus PAC</t>
        </is>
      </c>
      <c r="S61" s="35">
        <f>'Outside Money'!D11</f>
        <v/>
      </c>
    </row>
    <row r="62">
      <c r="R62" s="5" t="inlineStr">
        <is>
          <t>All other (26 committees)</t>
        </is>
      </c>
      <c r="S62" s="35">
        <f>'Outside Money'!D38-SUM('Outside Money'!D6:D11)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Totals'!$K$6:$K$15,MATCH("Bob Brooks",'Candidate Totals'!$A$6:$A$15,0))=0,"",INDEX('Candidate Totals'!$K$6:$K$15,MATCH("Bob Brooks",'Candidate Totals'!$A$6:$A$15,0))-INDEX('Candidate Totals'!$L$6:$L$15,MATCH("Bob Brooks",'Candidate Totals'!$A$6:$A$15,0))),"")</f>
        <v/>
      </c>
      <c r="C6" s="12">
        <f>IFERROR(IF(INDEX('Candidate Totals'!$K$6:$K$15,MATCH("Ryan Mackenzie",'Candidate Totals'!$A$6:$A$15,0))=0,"",INDEX('Candidate Totals'!$K$6:$K$15,MATCH("Ryan Mackenzie",'Candidate Totals'!$A$6:$A$15,0))-INDEX('Candidate Totals'!$L$6:$L$15,MATCH("Ryan Mackenzie",'Candidate Totals'!$A$6:$A$15,0))),"")</f>
        <v/>
      </c>
      <c r="D6" s="22">
        <f>IF(AND(ISNUMBER(B6),ISNUMBER(B13)),B6/B13,"")</f>
        <v/>
      </c>
      <c r="E6" s="22">
        <f>IF(AND(ISNUMBER(C6),ISNUMBER(C13)),C6/C13,"")</f>
        <v/>
      </c>
    </row>
    <row r="7">
      <c r="A7" s="14" t="inlineStr">
        <is>
          <t>Individual, unitemized ($200 or less)</t>
        </is>
      </c>
      <c r="B7" s="12">
        <f>IFERROR(IF(INDEX('Candidate Totals'!$L$6:$L$15,MATCH("Bob Brooks",'Candidate Totals'!$A$6:$A$15,0))=0,"",INDEX('Candidate Totals'!$L$6:$L$15,MATCH("Bob Brooks",'Candidate Totals'!$A$6:$A$15,0))),"")</f>
        <v/>
      </c>
      <c r="C7" s="12">
        <f>IFERROR(IF(INDEX('Candidate Totals'!$L$6:$L$15,MATCH("Ryan Mackenzie",'Candidate Totals'!$A$6:$A$15,0))=0,"",INDEX('Candidate Totals'!$L$6:$L$15,MATCH("Ryan Mackenzie",'Candidate Totals'!$A$6:$A$15,0))),"")</f>
        <v/>
      </c>
      <c r="D7" s="22">
        <f>IF(AND(ISNUMBER(B7),ISNUMBER(B13)),B7/B13,"")</f>
        <v/>
      </c>
      <c r="E7" s="22">
        <f>IF(AND(ISNUMBER(C7),ISNUMBER(C13)),C7/C13,"")</f>
        <v/>
      </c>
    </row>
    <row r="8">
      <c r="A8" s="14" t="inlineStr">
        <is>
          <t>PAC contributions</t>
        </is>
      </c>
      <c r="B8" s="12">
        <f>IFERROR(IF(INDEX('Candidate Totals'!$M$6:$M$15,MATCH("Bob Brooks",'Candidate Totals'!$A$6:$A$15,0))=0,"",INDEX('Candidate Totals'!$M$6:$M$15,MATCH("Bob Brooks",'Candidate Totals'!$A$6:$A$15,0))),"")</f>
        <v/>
      </c>
      <c r="C8" s="12">
        <f>IFERROR(IF(INDEX('Candidate Totals'!$M$6:$M$15,MATCH("Ryan Mackenzie",'Candidate Totals'!$A$6:$A$15,0))=0,"",INDEX('Candidate Totals'!$M$6:$M$15,MATCH("Ryan Mackenzie",'Candidate Totals'!$A$6:$A$15,0))),"")</f>
        <v/>
      </c>
      <c r="D8" s="22">
        <f>IF(AND(ISNUMBER(B8),ISNUMBER(B13)),B8/B13,"")</f>
        <v/>
      </c>
      <c r="E8" s="22">
        <f>IF(AND(ISNUMBER(C8),ISNUMBER(C13)),C8/C13,"")</f>
        <v/>
      </c>
    </row>
    <row r="9">
      <c r="A9" s="14" t="inlineStr">
        <is>
          <t>Party committee</t>
        </is>
      </c>
      <c r="B9" s="12">
        <f>IFERROR(IF(INDEX('Candidate Totals'!$N$6:$N$15,MATCH("Bob Brooks",'Candidate Totals'!$A$6:$A$15,0))=0,"",INDEX('Candidate Totals'!$N$6:$N$15,MATCH("Bob Brooks",'Candidate Totals'!$A$6:$A$15,0))),"")</f>
        <v/>
      </c>
      <c r="C9" s="12">
        <f>IFERROR(IF(INDEX('Candidate Totals'!$N$6:$N$15,MATCH("Ryan Mackenzie",'Candidate Totals'!$A$6:$A$15,0))=0,"",INDEX('Candidate Totals'!$N$6:$N$15,MATCH("Ryan Mackenzie",'Candidate Totals'!$A$6:$A$15,0))),"")</f>
        <v/>
      </c>
      <c r="D9" s="22">
        <f>IF(AND(ISNUMBER(B9),ISNUMBER(B13)),B9/B13,"")</f>
        <v/>
      </c>
      <c r="E9" s="22">
        <f>IF(AND(ISNUMBER(C9),ISNUMBER(C13)),C9/C13,"")</f>
        <v/>
      </c>
    </row>
    <row r="10">
      <c r="A10" s="14" t="inlineStr">
        <is>
          <t>Transfers from another authorized committee</t>
        </is>
      </c>
      <c r="B10" s="12">
        <f>IFERROR(IF(INDEX('Candidate Totals'!$O$6:$O$15,MATCH("Bob Brooks",'Candidate Totals'!$A$6:$A$15,0))=0,"",INDEX('Candidate Totals'!$O$6:$O$15,MATCH("Bob Brooks",'Candidate Totals'!$A$6:$A$15,0))),"")</f>
        <v/>
      </c>
      <c r="C10" s="12">
        <f>IFERROR(IF(INDEX('Candidate Totals'!$O$6:$O$15,MATCH("Ryan Mackenzie",'Candidate Totals'!$A$6:$A$15,0))=0,"",INDEX('Candidate Totals'!$O$6:$O$15,MATCH("Ryan Mackenzie",'Candidate Totals'!$A$6:$A$15,0))),"")</f>
        <v/>
      </c>
      <c r="D10" s="22">
        <f>IF(AND(ISNUMBER(B10),ISNUMBER(B13)),B10/B13,"")</f>
        <v/>
      </c>
      <c r="E10" s="22">
        <f>IF(AND(ISNUMBER(C10),ISNUMBER(C13)),C10/C13,"")</f>
        <v/>
      </c>
    </row>
    <row r="11">
      <c r="A11" s="14" t="inlineStr">
        <is>
          <t>Candidate self-funding</t>
        </is>
      </c>
      <c r="B11" s="12">
        <f>IFERROR(INDEX('Candidate Totals'!$P$6:$P$15,MATCH("Bob Brooks",'Candidate Totals'!$A$6:$A$15,0)),"")</f>
        <v/>
      </c>
      <c r="C11" s="12">
        <f>IFERROR(INDEX('Candidate Totals'!$P$6:$P$15,MATCH("Ryan Mackenzie",'Candidate Totals'!$A$6:$A$15,0)),"")</f>
        <v/>
      </c>
      <c r="D11" s="22">
        <f>IF(AND(ISNUMBER(B11),ISNUMBER(B13)),B11/B13,"")</f>
        <v/>
      </c>
      <c r="E11" s="22">
        <f>IF(AND(ISNUMBER(C11),ISNUMBER(C13)),C11/C13,"")</f>
        <v/>
      </c>
    </row>
    <row r="12">
      <c r="A12" s="14" t="inlineStr">
        <is>
          <t>Other / unclassified</t>
        </is>
      </c>
      <c r="B12" s="12">
        <f>IFERROR(IF(INDEX('Candidate Totals'!$Q$6:$Q$15,MATCH("Bob Brooks",'Candidate Totals'!$A$6:$A$15,0))=0,"",INDEX('Candidate Totals'!$Q$6:$Q$15,MATCH("Bob Brooks",'Candidate Totals'!$A$6:$A$15,0))),"")</f>
        <v/>
      </c>
      <c r="C12" s="12">
        <f>IFERROR(IF(INDEX('Candidate Totals'!$Q$6:$Q$15,MATCH("Ryan Mackenzie",'Candidate Totals'!$A$6:$A$15,0))=0,"",INDEX('Candidate Totals'!$Q$6:$Q$15,MATCH("Ryan Mackenzie",'Candidate Totals'!$A$6:$A$15,0))),"")</f>
        <v/>
      </c>
      <c r="D12" s="22">
        <f>IF(AND(ISNUMBER(B12),ISNUMBER(B13)),B12/B13,"")</f>
        <v/>
      </c>
      <c r="E12" s="22">
        <f>IF(AND(ISNUMBER(C12),ISNUMBER(C13)),C12/C13,"")</f>
        <v/>
      </c>
    </row>
    <row r="13">
      <c r="A13" s="15" t="inlineStr">
        <is>
          <t>TOTAL RECEIPTS</t>
        </is>
      </c>
      <c r="B13" s="17">
        <f>SUM(B6:B12)</f>
        <v/>
      </c>
      <c r="C13" s="17">
        <f>SUM(C6:C12)</f>
        <v/>
      </c>
      <c r="D13" s="36">
        <f>IFERROR(SUM(D6:D12),"")</f>
        <v/>
      </c>
      <c r="E13" s="36">
        <f>IFERROR(SUM(E6:E12),"")</f>
        <v/>
      </c>
    </row>
    <row r="14">
      <c r="A14" s="37" t="inlineStr">
        <is>
          <t>Check: components minus reported receipts (must be $0)</t>
        </is>
      </c>
      <c r="B14" s="38">
        <f>IFERROR(B13-INDEX('Candidate Totals'!$G$6:$G$15,MATCH("Bob Brooks",'Candidate Totals'!$A$6:$A$15,0)),"")</f>
        <v/>
      </c>
      <c r="C14" s="38">
        <f>IFERROR(C13-INDEX('Candidate Totals'!$G$6:$G$15,MATCH("Ryan Mackenzie",'Candidate Totals'!$A$6:$A$15,0)),"")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Totals'!$G$6:$G$15,MATCH("Bob Brooks",'Candidate Totals'!$A$6:$A$15,0))=0,"",INDEX('Candidate Totals'!$G$6:$G$15,MATCH("Bob Brooks",'Candidate Totals'!$A$6:$A$15,0))),"")</f>
        <v/>
      </c>
      <c r="C18" s="12">
        <f>IFERROR(IF(INDEX('Candidate Totals'!$G$6:$G$15,MATCH("Ryan Mackenzie",'Candidate Totals'!$A$6:$A$15,0))=0,"",INDEX('Candidate Totals'!$G$6:$G$15,MATCH("Ryan Mackenzie",'Candidate Totals'!$A$6:$A$15,0))),"")</f>
        <v/>
      </c>
      <c r="D18" s="39">
        <f>IF(AND(ISNUMBER(C18),ISNUMBER(B18)),C18-B18,"")</f>
        <v/>
      </c>
    </row>
    <row r="19">
      <c r="A19" s="14" t="inlineStr">
        <is>
          <t>less: transfers from another authorized committee</t>
        </is>
      </c>
      <c r="B19" s="12">
        <f>IFERROR(IF(INDEX('Candidate Totals'!$O$6:$O$15,MATCH("Bob Brooks",'Candidate Totals'!$A$6:$A$15,0))=0,"",INDEX('Candidate Totals'!$O$6:$O$15,MATCH("Bob Brooks",'Candidate Totals'!$A$6:$A$15,0))),"")</f>
        <v/>
      </c>
      <c r="C19" s="12">
        <f>IFERROR(IF(INDEX('Candidate Totals'!$O$6:$O$15,MATCH("Ryan Mackenzie",'Candidate Totals'!$A$6:$A$15,0))=0,"",INDEX('Candidate Totals'!$O$6:$O$15,MATCH("Ryan Mackenzie",'Candidate Totals'!$A$6:$A$15,0))),"")</f>
        <v/>
      </c>
      <c r="D19" s="39">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Totals'!$L$6:$L$15,MATCH("Bob Brooks",'Candidate Totals'!$A$6:$A$15,0))=0,"",INDEX('Candidate Totals'!$L$6:$L$15,MATCH("Bob Brooks",'Candidate Totals'!$A$6:$A$15,0))),"")</f>
        <v/>
      </c>
      <c r="C24" s="12">
        <f>IFERROR(IF(INDEX('Candidate Totals'!$L$6:$L$15,MATCH("Ryan Mackenzie",'Candidate Totals'!$A$6:$A$15,0))=0,"",INDEX('Candidate Totals'!$L$6:$L$15,MATCH("Ryan Mackenzie",'Candidate Totals'!$A$6:$A$15,0))),"")</f>
        <v/>
      </c>
    </row>
    <row r="25">
      <c r="A25" s="14" t="inlineStr">
        <is>
          <t>as a share of total receipts</t>
        </is>
      </c>
      <c r="B25" s="22">
        <f>IFERROR(B24/(INDEX('Candidate Totals'!$G$6:$G$15,MATCH("Bob Brooks",'Candidate Totals'!$A$6:$A$15,0))),"")</f>
        <v/>
      </c>
      <c r="C25" s="22">
        <f>IFERROR(C24/(INDEX('Candidate Totals'!$G$6:$G$15,MATCH("Ryan Mackenzie",'Candidate Totals'!$A$6:$A$15,0))),"")</f>
        <v/>
      </c>
    </row>
    <row r="26">
      <c r="A26" s="14" t="inlineStr">
        <is>
          <t>as a share of individual contributions</t>
        </is>
      </c>
      <c r="B26" s="22">
        <f>IFERROR(B24/(INDEX('Candidate Totals'!$K$6:$K$15,MATCH("Bob Brooks",'Candidate Totals'!$A$6:$A$15,0))),"")</f>
        <v/>
      </c>
      <c r="C26" s="22">
        <f>IFERROR(C24/(INDEX('Candidate Totals'!$K$6:$K$15,MATCH("Ryan Mackenzie",'Candidate Totals'!$A$6:$A$15,0))),"")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Totals'!$G$6:$G$15,MATCH("Bob Brooks",'Candidate Totals'!$A$6:$A$15,0))=0,"",INDEX('Candidate Totals'!$G$6:$G$15,MATCH("Bob Brooks",'Candidate Totals'!$A$6:$A$15,0))),"")</f>
        <v/>
      </c>
      <c r="C30" s="12">
        <f>IFERROR(IF(INDEX('Candidate Totals'!$G$6:$G$15,MATCH("Ryan Mackenzie",'Candidate Totals'!$A$6:$A$15,0))=0,"",INDEX('Candidate Totals'!$G$6:$G$15,MATCH("Ryan Mackenzie",'Candidate Totals'!$A$6:$A$15,0))),"")</f>
        <v/>
      </c>
      <c r="D30" s="39">
        <f>IF(AND(ISNUMBER(C30),ISNUMBER(B30)),C30-B30,"")</f>
        <v/>
      </c>
    </row>
    <row r="31">
      <c r="A31" s="14" t="inlineStr">
        <is>
          <t>Disbursements</t>
        </is>
      </c>
      <c r="B31" s="12">
        <f>IFERROR(IF(INDEX('Candidate Totals'!$H$6:$H$15,MATCH("Bob Brooks",'Candidate Totals'!$A$6:$A$15,0))=0,"",INDEX('Candidate Totals'!$H$6:$H$15,MATCH("Bob Brooks",'Candidate Totals'!$A$6:$A$15,0))),"")</f>
        <v/>
      </c>
      <c r="C31" s="12">
        <f>IFERROR(IF(INDEX('Candidate Totals'!$H$6:$H$15,MATCH("Ryan Mackenzie",'Candidate Totals'!$A$6:$A$15,0))=0,"",INDEX('Candidate Totals'!$H$6:$H$15,MATCH("Ryan Mackenzie",'Candidate Totals'!$A$6:$A$15,0))),"")</f>
        <v/>
      </c>
      <c r="D31" s="39">
        <f>IF(AND(ISNUMBER(C31),ISNUMBER(B31)),C31-B31,"")</f>
        <v/>
      </c>
    </row>
    <row r="32">
      <c r="A32" s="14" t="inlineStr">
        <is>
          <t>Cash on hand</t>
        </is>
      </c>
      <c r="B32" s="12">
        <f>IFERROR(IF(INDEX('Candidate Totals'!$I$6:$I$15,MATCH("Bob Brooks",'Candidate Totals'!$A$6:$A$15,0))=0,"",INDEX('Candidate Totals'!$I$6:$I$15,MATCH("Bob Brooks",'Candidate Totals'!$A$6:$A$15,0))),"")</f>
        <v/>
      </c>
      <c r="C32" s="12">
        <f>IFERROR(IF(INDEX('Candidate Totals'!$I$6:$I$15,MATCH("Ryan Mackenzie",'Candidate Totals'!$A$6:$A$15,0))=0,"",INDEX('Candidate Totals'!$I$6:$I$15,MATCH("Ryan Mackenzie",'Candidate Totals'!$A$6:$A$15,0))),"")</f>
        <v/>
      </c>
      <c r="D32" s="39">
        <f>IF(AND(ISNUMBER(C32),ISNUMBER(B32)),C32-B32,"")</f>
        <v/>
      </c>
    </row>
    <row r="33">
      <c r="A33" s="14" t="inlineStr">
        <is>
          <t>Debts owed</t>
        </is>
      </c>
      <c r="B33" s="12">
        <f>IFERROR(INDEX('Candidate Totals'!$J$6:$J$15,MATCH("Bob Brooks",'Candidate Totals'!$A$6:$A$15,0)),"")</f>
        <v/>
      </c>
      <c r="C33" s="12">
        <f>IFERROR(INDEX('Candidate Totals'!$J$6:$J$15,MATCH("Ryan Mackenzie",'Candidate Totals'!$A$6:$A$15,0)),"")</f>
        <v/>
      </c>
      <c r="D33" s="39">
        <f>IF(AND(ISNUMBER(C33),ISNUMBER(B33)),C33-B33,"")</f>
        <v/>
      </c>
    </row>
    <row r="34">
      <c r="A34" s="14" t="inlineStr">
        <is>
          <t>Burn rate (disbursed / raised)</t>
        </is>
      </c>
      <c r="B34" s="22">
        <f>IF(AND(ISNUMBER(B31),ISNUMBER(B30),B30&lt;&gt;0),B31/B30,"")</f>
        <v/>
      </c>
      <c r="C34" s="22">
        <f>IF(AND(ISNUMBER(C31),ISNUMBER(C30),C30&lt;&gt;0),C31/C30,"")</f>
        <v/>
      </c>
      <c r="D34" s="40">
        <f>IF(AND(ISNUMBER(C34),ISNUMBER(B34)),C34-B34,"")</f>
        <v/>
      </c>
    </row>
    <row r="35">
      <c r="A35" s="14" t="inlineStr">
        <is>
          <t>Cash on hand / receipts</t>
        </is>
      </c>
      <c r="B35" s="22">
        <f>IF(AND(ISNUMBER(B32),ISNUMBER(B30),B30&lt;&gt;0),B32/B30,"")</f>
        <v/>
      </c>
      <c r="C35" s="22">
        <f>IF(AND(ISNUMBER(C32),ISNUMBER(C30),C30&lt;&gt;0),C32/C30,"")</f>
        <v/>
      </c>
      <c r="D35" s="40">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Q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2026-09-17T15:59:52Z.</t>
        </is>
      </c>
    </row>
    <row r="4" ht="18" customHeight="1">
      <c r="A4" s="3" t="inlineStr">
        <is>
          <t>EVERY DECLARED CANDIDATE</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1" t="n">
        <v>4357405.11</v>
      </c>
      <c r="H6" s="41" t="n">
        <v>1521927.85</v>
      </c>
      <c r="I6" s="41" t="n">
        <v>2938717.17</v>
      </c>
      <c r="J6" s="41" t="n">
        <v>22583.23</v>
      </c>
      <c r="K6" s="41" t="n">
        <v>1493241.01</v>
      </c>
      <c r="L6" s="41" t="n">
        <v>554133.97</v>
      </c>
      <c r="M6" s="41" t="n">
        <v>1042912.78</v>
      </c>
      <c r="N6" s="41" t="n">
        <v>5000</v>
      </c>
      <c r="O6" s="41" t="n">
        <v>1779199.14</v>
      </c>
      <c r="P6" s="41" t="n">
        <v>0</v>
      </c>
      <c r="Q6" s="39">
        <f>IF(ISNUMBER(G6),G6-(K6+M6+N6+O6+P6),"")</f>
        <v/>
      </c>
    </row>
    <row r="7">
      <c r="A7" s="11" t="inlineStr">
        <is>
          <t>Bob Brooks</t>
        </is>
      </c>
      <c r="B7" s="11" t="inlineStr">
        <is>
          <t>DEM</t>
        </is>
      </c>
      <c r="C7" s="11" t="inlineStr">
        <is>
          <t>Nominee</t>
        </is>
      </c>
      <c r="D7" s="11" t="inlineStr">
        <is>
          <t>no</t>
        </is>
      </c>
      <c r="E7" s="11" t="inlineStr">
        <is>
          <t>yes</t>
        </is>
      </c>
      <c r="F7" s="11" t="inlineStr">
        <is>
          <t>2026-06-30</t>
        </is>
      </c>
      <c r="G7" s="41" t="n">
        <v>2392215.23</v>
      </c>
      <c r="H7" s="41" t="n">
        <v>1373792.39</v>
      </c>
      <c r="I7" s="41" t="n">
        <v>1018422.84</v>
      </c>
      <c r="J7" s="41" t="n">
        <v>15000</v>
      </c>
      <c r="K7" s="41" t="n">
        <v>1942165.53</v>
      </c>
      <c r="L7" s="41" t="n">
        <v>599386.78</v>
      </c>
      <c r="M7" s="41" t="n">
        <v>403000.03</v>
      </c>
      <c r="N7" s="41" t="n">
        <v>5000</v>
      </c>
      <c r="O7" s="41" t="n">
        <v>26085</v>
      </c>
      <c r="P7" s="41" t="n">
        <v>3500</v>
      </c>
      <c r="Q7" s="39">
        <f>IF(ISNUMBER(G7),G7-(K7+M7+N7+O7+P7),"")</f>
        <v/>
      </c>
    </row>
    <row r="8">
      <c r="A8" s="14" t="inlineStr">
        <is>
          <t>Ryan Crosswell</t>
        </is>
      </c>
      <c r="B8" s="14" t="inlineStr">
        <is>
          <t>DEM</t>
        </is>
      </c>
      <c r="C8" s="14" t="inlineStr">
        <is>
          <t>Primary candidate</t>
        </is>
      </c>
      <c r="D8" s="14" t="inlineStr">
        <is>
          <t>no</t>
        </is>
      </c>
      <c r="E8" s="14" t="inlineStr">
        <is>
          <t>yes</t>
        </is>
      </c>
      <c r="F8" s="14" t="inlineStr">
        <is>
          <t>2026-06-30</t>
        </is>
      </c>
      <c r="G8" s="41" t="n">
        <v>1872528.13</v>
      </c>
      <c r="H8" s="41" t="n">
        <v>1859323.43</v>
      </c>
      <c r="I8" s="41" t="n">
        <v>13204.7</v>
      </c>
      <c r="J8" s="41" t="n">
        <v>0</v>
      </c>
      <c r="K8" s="41" t="n">
        <v>1794415.95</v>
      </c>
      <c r="L8" s="41" t="n">
        <v>407478.81</v>
      </c>
      <c r="M8" s="41" t="n">
        <v>24750</v>
      </c>
      <c r="N8" s="41" t="n">
        <v>0</v>
      </c>
      <c r="O8" s="41" t="n">
        <v>49522.52</v>
      </c>
      <c r="P8" s="41" t="n">
        <v>0</v>
      </c>
      <c r="Q8" s="39">
        <f>IF(ISNUMBER(G8),G8-(K8+M8+N8+O8+P8),"")</f>
        <v/>
      </c>
    </row>
    <row r="9">
      <c r="A9" s="14" t="inlineStr">
        <is>
          <t>Carol Obando-Derstine</t>
        </is>
      </c>
      <c r="B9" s="14" t="inlineStr">
        <is>
          <t>DEM</t>
        </is>
      </c>
      <c r="C9" s="14" t="inlineStr">
        <is>
          <t>Primary candidate</t>
        </is>
      </c>
      <c r="D9" s="14" t="inlineStr">
        <is>
          <t>no</t>
        </is>
      </c>
      <c r="E9" s="14" t="inlineStr">
        <is>
          <t>yes</t>
        </is>
      </c>
      <c r="F9" s="14" t="inlineStr">
        <is>
          <t>2026-06-30</t>
        </is>
      </c>
      <c r="G9" s="41" t="n">
        <v>593293.48</v>
      </c>
      <c r="H9" s="41" t="n">
        <v>591121.38</v>
      </c>
      <c r="I9" s="41" t="n">
        <v>2172.1</v>
      </c>
      <c r="J9" s="41" t="n">
        <v>35000</v>
      </c>
      <c r="K9" s="41" t="n">
        <v>485269.81</v>
      </c>
      <c r="L9" s="41" t="n">
        <v>131453.58</v>
      </c>
      <c r="M9" s="41" t="n">
        <v>53134.65</v>
      </c>
      <c r="N9" s="41" t="n">
        <v>0</v>
      </c>
      <c r="O9" s="41" t="n">
        <v>10889.98</v>
      </c>
      <c r="P9" s="41" t="n">
        <v>9302.34</v>
      </c>
      <c r="Q9" s="39">
        <f>IF(ISNUMBER(G9),G9-(K9+M9+N9+O9+P9),"")</f>
        <v/>
      </c>
    </row>
    <row r="10">
      <c r="A10" s="14" t="inlineStr">
        <is>
          <t>Lamont McClure</t>
        </is>
      </c>
      <c r="B10" s="14" t="inlineStr">
        <is>
          <t>DEM</t>
        </is>
      </c>
      <c r="C10" s="14" t="inlineStr">
        <is>
          <t>Primary candidate</t>
        </is>
      </c>
      <c r="D10" s="14" t="inlineStr">
        <is>
          <t>no</t>
        </is>
      </c>
      <c r="E10" s="14" t="inlineStr">
        <is>
          <t>yes</t>
        </is>
      </c>
      <c r="F10" s="14" t="inlineStr">
        <is>
          <t>2026-06-30</t>
        </is>
      </c>
      <c r="G10" s="41" t="n">
        <v>515144.34</v>
      </c>
      <c r="H10" s="41" t="n">
        <v>512981.08</v>
      </c>
      <c r="I10" s="41" t="n">
        <v>2163.26</v>
      </c>
      <c r="J10" s="41" t="n">
        <v>200000</v>
      </c>
      <c r="K10" s="41" t="n">
        <v>246039.79</v>
      </c>
      <c r="L10" s="41" t="n">
        <v>54880.62</v>
      </c>
      <c r="M10" s="41" t="n">
        <v>45100</v>
      </c>
      <c r="N10" s="41" t="n">
        <v>0</v>
      </c>
      <c r="O10" s="41" t="n">
        <v>0</v>
      </c>
      <c r="P10" s="41" t="n">
        <v>24000</v>
      </c>
      <c r="Q10" s="39">
        <f>IF(ISNUMBER(G10),G10-(K10+M10+N10+O10+P10),"")</f>
        <v/>
      </c>
    </row>
    <row r="11">
      <c r="A11" s="14" t="inlineStr">
        <is>
          <t>Mark Pinsley</t>
        </is>
      </c>
      <c r="B11" s="14" t="inlineStr">
        <is>
          <t>DEM</t>
        </is>
      </c>
      <c r="C11" s="14" t="inlineStr">
        <is>
          <t>Primary candidate</t>
        </is>
      </c>
      <c r="D11" s="14" t="inlineStr">
        <is>
          <t>no</t>
        </is>
      </c>
      <c r="E11" s="14" t="inlineStr">
        <is>
          <t>yes</t>
        </is>
      </c>
      <c r="F11" s="14" t="inlineStr">
        <is>
          <t>2026-04-29</t>
        </is>
      </c>
      <c r="G11" s="41" t="n">
        <v>179911.74</v>
      </c>
      <c r="H11" s="41" t="n">
        <v>125387.79</v>
      </c>
      <c r="I11" s="41" t="n">
        <v>54523.95</v>
      </c>
      <c r="J11" s="41" t="n">
        <v>-1567.67</v>
      </c>
      <c r="K11" s="41" t="n">
        <v>179411.74</v>
      </c>
      <c r="L11" s="41" t="n">
        <v>83715.27</v>
      </c>
      <c r="M11" s="41" t="n">
        <v>500</v>
      </c>
      <c r="N11" s="41" t="n">
        <v>0</v>
      </c>
      <c r="O11" s="41" t="n">
        <v>0</v>
      </c>
      <c r="P11" s="41" t="n">
        <v>0</v>
      </c>
      <c r="Q11" s="39">
        <f>IF(ISNUMBER(G11),G11-(K11+M11+N11+O11+P11),"")</f>
        <v/>
      </c>
    </row>
    <row r="12">
      <c r="A12" s="14" t="inlineStr">
        <is>
          <t>Frank Golden</t>
        </is>
      </c>
      <c r="B12" s="14" t="inlineStr">
        <is>
          <t>UN</t>
        </is>
      </c>
      <c r="C12" s="14" t="inlineStr">
        <is>
          <t>Declared</t>
        </is>
      </c>
      <c r="D12" s="14" t="inlineStr">
        <is>
          <t>no</t>
        </is>
      </c>
      <c r="E12" s="42" t="inlineStr">
        <is>
          <t>no report</t>
        </is>
      </c>
      <c r="F12" s="14" t="inlineStr">
        <is>
          <t>-</t>
        </is>
      </c>
      <c r="G12" s="43" t="n"/>
      <c r="H12" s="43" t="n"/>
      <c r="I12" s="43" t="n"/>
      <c r="J12" s="43" t="n"/>
      <c r="K12" s="43" t="n"/>
      <c r="L12" s="43" t="n"/>
      <c r="M12" s="43" t="n"/>
      <c r="N12" s="43" t="n"/>
      <c r="O12" s="43" t="n"/>
      <c r="P12" s="43" t="n"/>
      <c r="Q12" s="43" t="n"/>
    </row>
    <row r="13">
      <c r="A13" s="14" t="inlineStr">
        <is>
          <t>Aiden Alexander Gonzalez</t>
        </is>
      </c>
      <c r="B13" s="14" t="inlineStr">
        <is>
          <t>DEM</t>
        </is>
      </c>
      <c r="C13" s="14" t="inlineStr">
        <is>
          <t>Primary candidate</t>
        </is>
      </c>
      <c r="D13" s="14" t="inlineStr">
        <is>
          <t>no</t>
        </is>
      </c>
      <c r="E13" s="42" t="inlineStr">
        <is>
          <t>no report</t>
        </is>
      </c>
      <c r="F13" s="14" t="inlineStr">
        <is>
          <t>-</t>
        </is>
      </c>
      <c r="G13" s="43" t="n"/>
      <c r="H13" s="43" t="n"/>
      <c r="I13" s="43" t="n"/>
      <c r="J13" s="43" t="n"/>
      <c r="K13" s="43" t="n"/>
      <c r="L13" s="43" t="n"/>
      <c r="M13" s="43" t="n"/>
      <c r="N13" s="43" t="n"/>
      <c r="O13" s="43" t="n"/>
      <c r="P13" s="43" t="n"/>
      <c r="Q13" s="43" t="n"/>
    </row>
    <row r="14">
      <c r="A14" s="14" t="inlineStr">
        <is>
          <t>Michael Ramon Granados Jr.</t>
        </is>
      </c>
      <c r="B14" s="14" t="inlineStr">
        <is>
          <t>IND</t>
        </is>
      </c>
      <c r="C14" s="14" t="inlineStr">
        <is>
          <t>Declared</t>
        </is>
      </c>
      <c r="D14" s="14" t="inlineStr">
        <is>
          <t>no</t>
        </is>
      </c>
      <c r="E14" s="42" t="inlineStr">
        <is>
          <t>no report</t>
        </is>
      </c>
      <c r="F14" s="14" t="inlineStr">
        <is>
          <t>-</t>
        </is>
      </c>
      <c r="G14" s="43" t="n"/>
      <c r="H14" s="43" t="n"/>
      <c r="I14" s="43" t="n"/>
      <c r="J14" s="43" t="n"/>
      <c r="K14" s="43" t="n"/>
      <c r="L14" s="43" t="n"/>
      <c r="M14" s="43" t="n"/>
      <c r="N14" s="43" t="n"/>
      <c r="O14" s="43" t="n"/>
      <c r="P14" s="43" t="n"/>
      <c r="Q14" s="43" t="n"/>
    </row>
    <row r="15">
      <c r="A15" s="14" t="inlineStr">
        <is>
          <t>Lewis Shupe</t>
        </is>
      </c>
      <c r="B15" s="14" t="inlineStr">
        <is>
          <t>IND</t>
        </is>
      </c>
      <c r="C15" s="14" t="inlineStr">
        <is>
          <t>Declared</t>
        </is>
      </c>
      <c r="D15" s="14" t="inlineStr">
        <is>
          <t>no</t>
        </is>
      </c>
      <c r="E15" s="42" t="inlineStr">
        <is>
          <t>no report</t>
        </is>
      </c>
      <c r="F15" s="14" t="inlineStr">
        <is>
          <t>-</t>
        </is>
      </c>
      <c r="G15" s="43" t="n"/>
      <c r="H15" s="43" t="n"/>
      <c r="I15" s="43" t="n"/>
      <c r="J15" s="43" t="n"/>
      <c r="K15" s="43" t="n"/>
      <c r="L15" s="43" t="n"/>
      <c r="M15" s="43" t="n"/>
      <c r="N15" s="43" t="n"/>
      <c r="O15" s="43" t="n"/>
      <c r="P15" s="43" t="n"/>
      <c r="Q15" s="43" t="n"/>
    </row>
    <row r="16">
      <c r="A16" s="15" t="inlineStr">
        <is>
          <t>TOTAL, all candidates who filed</t>
        </is>
      </c>
      <c r="B16" s="20" t="n"/>
      <c r="C16" s="20" t="n"/>
      <c r="D16" s="20" t="n"/>
      <c r="E16" s="20" t="n"/>
      <c r="F16" s="20" t="n"/>
      <c r="G16" s="17">
        <f>SUM(G6:G15)</f>
        <v/>
      </c>
      <c r="H16" s="17">
        <f>SUM(H6:H15)</f>
        <v/>
      </c>
      <c r="I16" s="17">
        <f>SUM(I6:I15)</f>
        <v/>
      </c>
      <c r="J16" s="17">
        <f>SUM(J6:J15)</f>
        <v/>
      </c>
      <c r="K16" s="17">
        <f>SUM(K6:K15)</f>
        <v/>
      </c>
      <c r="L16" s="17">
        <f>SUM(L6:L15)</f>
        <v/>
      </c>
      <c r="M16" s="17">
        <f>SUM(M6:M15)</f>
        <v/>
      </c>
      <c r="N16" s="17">
        <f>SUM(N6:N15)</f>
        <v/>
      </c>
      <c r="O16" s="17">
        <f>SUM(O6:O15)</f>
        <v/>
      </c>
      <c r="P16" s="17">
        <f>SUM(P6:P15)</f>
        <v/>
      </c>
      <c r="Q16" s="17">
        <f>SUM(Q6:Q15)</f>
        <v/>
      </c>
    </row>
    <row r="18" ht="13" customHeight="1">
      <c r="A18" s="44" t="inlineStr">
        <is>
          <t>HOW TO READ THIS TABLE</t>
        </is>
      </c>
    </row>
    <row r="19" ht="13" customHeight="1">
      <c r="A19" s="32" t="inlineStr">
        <is>
          <t>Candidates with no periodic report on file have BLANK financial cells, not $0. The FEC reports nothing for them, which is a different claim from 'raised nothing'. SUM() ignores blanks.</t>
        </is>
      </c>
    </row>
    <row r="20" ht="13" customHeight="1">
      <c r="A20" s="32" t="inlineStr">
        <is>
          <t>'Status' comes from sources/race.json: the two nominees are named there; any other Democrat or Republican who filed is a primary candidate; the rest are declared candidates of other parties.</t>
        </is>
      </c>
    </row>
    <row r="21" ht="13" customHeight="1">
      <c r="A21" s="32" t="inlineStr">
        <is>
          <t>'of which unitemized' is a subset of 'Individual, total'. Adding it to the other source columns double-counts.</t>
        </is>
      </c>
    </row>
    <row r="22" ht="13" customHeight="1">
      <c r="A22" s="32" t="inlineStr">
        <is>
          <t>Blue figures are values from the FEC API. Black figures are formulas.</t>
        </is>
      </c>
    </row>
  </sheetData>
  <mergeCells count="5">
    <mergeCell ref="A22:Q22"/>
    <mergeCell ref="A18:Q18"/>
    <mergeCell ref="A21:Q21"/>
    <mergeCell ref="A20:Q20"/>
    <mergeCell ref="A19:Q1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3864"/>
    <outlinePr summaryBelow="1" summaryRight="1"/>
    <pageSetUpPr/>
  </sheetPr>
  <dimension ref="A1:G7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a candidate, without coordinating with the campaign. FEC's deduplicated by_candidate aggregate. Largest first.</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5" t="inlineStr">
        <is>
          <t>Supports</t>
        </is>
      </c>
      <c r="D6" s="46" t="n">
        <v>1781524</v>
      </c>
      <c r="E6" s="14" t="n">
        <v>21</v>
      </c>
      <c r="F6" s="14" t="inlineStr">
        <is>
          <t>C00936153</t>
        </is>
      </c>
      <c r="G6" s="22">
        <f>IFERROR(D6/$D$38,"")</f>
        <v/>
      </c>
    </row>
    <row r="7">
      <c r="A7" s="14" t="inlineStr">
        <is>
          <t>LEAD LEFT PAC</t>
        </is>
      </c>
      <c r="B7" s="14" t="inlineStr">
        <is>
          <t>Lamont McClure</t>
        </is>
      </c>
      <c r="C7" s="45" t="inlineStr">
        <is>
          <t>Supports</t>
        </is>
      </c>
      <c r="D7" s="46" t="n">
        <v>1084256.89</v>
      </c>
      <c r="E7" s="14" t="n">
        <v>9</v>
      </c>
      <c r="F7" s="14" t="inlineStr">
        <is>
          <t>C00948208</t>
        </is>
      </c>
      <c r="G7" s="22">
        <f>IFERROR(D7/$D$38,"")</f>
        <v/>
      </c>
    </row>
    <row r="8">
      <c r="A8" s="14" t="inlineStr">
        <is>
          <t>LEAD LEFT PAC</t>
        </is>
      </c>
      <c r="B8" s="14" t="inlineStr">
        <is>
          <t>Bob Brooks</t>
        </is>
      </c>
      <c r="C8" s="45" t="inlineStr">
        <is>
          <t>Opposes</t>
        </is>
      </c>
      <c r="D8" s="46" t="n">
        <v>312371.76</v>
      </c>
      <c r="E8" s="14" t="n">
        <v>7</v>
      </c>
      <c r="F8" s="14" t="inlineStr">
        <is>
          <t>C00948208</t>
        </is>
      </c>
      <c r="G8" s="22">
        <f>IFERROR(D8/$D$38,"")</f>
        <v/>
      </c>
    </row>
    <row r="9">
      <c r="A9" s="14" t="inlineStr">
        <is>
          <t>LEAD LEFT PAC</t>
        </is>
      </c>
      <c r="B9" s="14" t="inlineStr">
        <is>
          <t>Ryan Crosswell</t>
        </is>
      </c>
      <c r="C9" s="45" t="inlineStr">
        <is>
          <t>Opposes</t>
        </is>
      </c>
      <c r="D9" s="46" t="n">
        <v>312371.75</v>
      </c>
      <c r="E9" s="14" t="n">
        <v>7</v>
      </c>
      <c r="F9" s="14" t="inlineStr">
        <is>
          <t>C00948208</t>
        </is>
      </c>
      <c r="G9" s="22">
        <f>IFERROR(D9/$D$38,"")</f>
        <v/>
      </c>
    </row>
    <row r="10">
      <c r="A10" s="14" t="inlineStr">
        <is>
          <t>JOBS AND DEMOCRACY PAC</t>
        </is>
      </c>
      <c r="B10" s="14" t="inlineStr">
        <is>
          <t>Bob Brooks</t>
        </is>
      </c>
      <c r="C10" s="45" t="inlineStr">
        <is>
          <t>Supports</t>
        </is>
      </c>
      <c r="D10" s="46" t="n">
        <v>249750</v>
      </c>
      <c r="E10" s="14" t="n">
        <v>1</v>
      </c>
      <c r="F10" s="14" t="inlineStr">
        <is>
          <t>C00928374</t>
        </is>
      </c>
      <c r="G10" s="22">
        <f>IFERROR(D10/$D$38,"")</f>
        <v/>
      </c>
    </row>
    <row r="11">
      <c r="A11" s="14" t="inlineStr">
        <is>
          <t>CONGRESSIONAL PROGRESSIVE CAUCUS PAC</t>
        </is>
      </c>
      <c r="B11" s="14" t="inlineStr">
        <is>
          <t>Bob Brooks</t>
        </is>
      </c>
      <c r="C11" s="45" t="inlineStr">
        <is>
          <t>Supports</t>
        </is>
      </c>
      <c r="D11" s="46" t="n">
        <v>140300</v>
      </c>
      <c r="E11" s="14" t="n">
        <v>2</v>
      </c>
      <c r="F11" s="14" t="inlineStr">
        <is>
          <t>C00513176</t>
        </is>
      </c>
      <c r="G11" s="22">
        <f>IFERROR(D11/$D$38,"")</f>
        <v/>
      </c>
    </row>
    <row r="12">
      <c r="A12" s="14" t="inlineStr">
        <is>
          <t>INTEGRITY PAC</t>
        </is>
      </c>
      <c r="B12" s="14" t="inlineStr">
        <is>
          <t>Ryan Crosswell</t>
        </is>
      </c>
      <c r="C12" s="45" t="inlineStr">
        <is>
          <t>Supports</t>
        </is>
      </c>
      <c r="D12" s="46" t="n">
        <v>103002.76</v>
      </c>
      <c r="E12" s="14" t="n">
        <v>9</v>
      </c>
      <c r="F12" s="14" t="inlineStr">
        <is>
          <t>C00941724</t>
        </is>
      </c>
      <c r="G12" s="22">
        <f>IFERROR(D12/$D$38,"")</f>
        <v/>
      </c>
    </row>
    <row r="13">
      <c r="A13" s="14" t="inlineStr">
        <is>
          <t>MEDICARE FOR ALL</t>
        </is>
      </c>
      <c r="B13" s="14" t="inlineStr">
        <is>
          <t>Bob Brooks</t>
        </is>
      </c>
      <c r="C13" s="45" t="inlineStr">
        <is>
          <t>Supports</t>
        </is>
      </c>
      <c r="D13" s="46" t="n">
        <v>99625</v>
      </c>
      <c r="E13" s="14" t="n">
        <v>2</v>
      </c>
      <c r="F13" s="14" t="inlineStr">
        <is>
          <t>C00685552</t>
        </is>
      </c>
      <c r="G13" s="22">
        <f>IFERROR(D13/$D$38,"")</f>
        <v/>
      </c>
    </row>
    <row r="14">
      <c r="A14" s="14" t="inlineStr">
        <is>
          <t>DLP PAC</t>
        </is>
      </c>
      <c r="B14" s="14" t="inlineStr">
        <is>
          <t>Bob Brooks</t>
        </is>
      </c>
      <c r="C14" s="45" t="inlineStr">
        <is>
          <t>Supports</t>
        </is>
      </c>
      <c r="D14" s="46" t="n">
        <v>88321.5</v>
      </c>
      <c r="E14" s="14" t="n">
        <v>4</v>
      </c>
      <c r="F14" s="14" t="inlineStr">
        <is>
          <t>C00895730</t>
        </is>
      </c>
      <c r="G14" s="22">
        <f>IFERROR(D14/$D$38,"")</f>
        <v/>
      </c>
    </row>
    <row r="15">
      <c r="A15" s="14" t="inlineStr">
        <is>
          <t>RENEW NORTHEAST PAC</t>
        </is>
      </c>
      <c r="B15" s="14" t="inlineStr">
        <is>
          <t>Ryan Crosswell</t>
        </is>
      </c>
      <c r="C15" s="45" t="inlineStr">
        <is>
          <t>Opposes</t>
        </is>
      </c>
      <c r="D15" s="46" t="n">
        <v>84911.98</v>
      </c>
      <c r="E15" s="14" t="n">
        <v>2</v>
      </c>
      <c r="F15" s="14" t="inlineStr">
        <is>
          <t>C00948844</t>
        </is>
      </c>
      <c r="G15" s="22">
        <f>IFERROR(D15/$D$38,"")</f>
        <v/>
      </c>
    </row>
    <row r="16">
      <c r="A16" s="14" t="inlineStr">
        <is>
          <t>MAKE THE ROAD ACTION POLITICAL COMMITTEE</t>
        </is>
      </c>
      <c r="B16" s="14" t="inlineStr">
        <is>
          <t>Bob Brooks</t>
        </is>
      </c>
      <c r="C16" s="45" t="inlineStr">
        <is>
          <t>Supports</t>
        </is>
      </c>
      <c r="D16" s="46" t="n">
        <v>30559.95</v>
      </c>
      <c r="E16" s="14" t="n">
        <v>9</v>
      </c>
      <c r="F16" s="14" t="inlineStr">
        <is>
          <t>C00689745</t>
        </is>
      </c>
      <c r="G16" s="22">
        <f>IFERROR(D16/$D$38,"")</f>
        <v/>
      </c>
    </row>
    <row r="17">
      <c r="A17" s="14" t="inlineStr">
        <is>
          <t>BLUE MAJORITY PROJECT</t>
        </is>
      </c>
      <c r="B17" s="14" t="inlineStr">
        <is>
          <t>Bob Brooks</t>
        </is>
      </c>
      <c r="C17" s="45" t="inlineStr">
        <is>
          <t>Supports</t>
        </is>
      </c>
      <c r="D17" s="46" t="n">
        <v>16643.34</v>
      </c>
      <c r="E17" s="14" t="n">
        <v>3</v>
      </c>
      <c r="F17" s="14" t="inlineStr">
        <is>
          <t>C00897363</t>
        </is>
      </c>
      <c r="G17" s="22">
        <f>IFERROR(D17/$D$38,"")</f>
        <v/>
      </c>
    </row>
    <row r="18">
      <c r="A18" s="14" t="inlineStr">
        <is>
          <t>BLUE BATTLEGROUND PROJECT</t>
        </is>
      </c>
      <c r="B18" s="14" t="inlineStr">
        <is>
          <t>Bob Brooks</t>
        </is>
      </c>
      <c r="C18" s="45" t="inlineStr">
        <is>
          <t>Supports</t>
        </is>
      </c>
      <c r="D18" s="46" t="n">
        <v>9116.67</v>
      </c>
      <c r="E18" s="14" t="n">
        <v>1</v>
      </c>
      <c r="F18" s="14" t="inlineStr">
        <is>
          <t>C00704593</t>
        </is>
      </c>
      <c r="G18" s="22">
        <f>IFERROR(D18/$D$38,"")</f>
        <v/>
      </c>
    </row>
    <row r="19">
      <c r="A19" s="14" t="inlineStr">
        <is>
          <t>KITCHEN TABLE VALUES PAC</t>
        </is>
      </c>
      <c r="B19" s="14" t="inlineStr">
        <is>
          <t>Bob Brooks</t>
        </is>
      </c>
      <c r="C19" s="45" t="inlineStr">
        <is>
          <t>Opposes</t>
        </is>
      </c>
      <c r="D19" s="46" t="n">
        <v>8840</v>
      </c>
      <c r="E19" s="14" t="n">
        <v>5</v>
      </c>
      <c r="F19" s="14" t="inlineStr">
        <is>
          <t>C00924159</t>
        </is>
      </c>
      <c r="G19" s="22">
        <f>IFERROR(D19/$D$38,"")</f>
        <v/>
      </c>
    </row>
    <row r="20">
      <c r="A20" s="14" t="inlineStr">
        <is>
          <t>YOUTH SAVE DEMOCRACY PAC</t>
        </is>
      </c>
      <c r="B20" s="14" t="inlineStr">
        <is>
          <t>Ryan Mackenzie</t>
        </is>
      </c>
      <c r="C20" s="45" t="inlineStr">
        <is>
          <t>Opposes</t>
        </is>
      </c>
      <c r="D20" s="46" t="n">
        <v>6044</v>
      </c>
      <c r="E20" s="14" t="n">
        <v>1</v>
      </c>
      <c r="F20" s="14" t="inlineStr">
        <is>
          <t>C00832493</t>
        </is>
      </c>
      <c r="G20" s="22">
        <f>IFERROR(D20/$D$38,"")</f>
        <v/>
      </c>
    </row>
    <row r="21">
      <c r="A21" s="14" t="inlineStr">
        <is>
          <t>MAJORITY BLUE PAC</t>
        </is>
      </c>
      <c r="B21" s="14" t="inlineStr">
        <is>
          <t>Bob Brooks</t>
        </is>
      </c>
      <c r="C21" s="45" t="inlineStr">
        <is>
          <t>Supports</t>
        </is>
      </c>
      <c r="D21" s="46" t="n">
        <v>4941.66</v>
      </c>
      <c r="E21" s="14" t="n">
        <v>2</v>
      </c>
      <c r="F21" s="14" t="inlineStr">
        <is>
          <t>C00948000</t>
        </is>
      </c>
      <c r="G21" s="22">
        <f>IFERROR(D21/$D$38,"")</f>
        <v/>
      </c>
    </row>
    <row r="22">
      <c r="A22" s="14" t="inlineStr">
        <is>
          <t>BLUE SHIFT PAC</t>
        </is>
      </c>
      <c r="B22" s="14" t="inlineStr">
        <is>
          <t>Bob Brooks</t>
        </is>
      </c>
      <c r="C22" s="45" t="inlineStr">
        <is>
          <t>Supports</t>
        </is>
      </c>
      <c r="D22" s="46" t="n">
        <v>4708.33</v>
      </c>
      <c r="E22" s="14" t="n">
        <v>2</v>
      </c>
      <c r="F22" s="14" t="inlineStr">
        <is>
          <t>C00933614</t>
        </is>
      </c>
      <c r="G22" s="22">
        <f>IFERROR(D22/$D$38,"")</f>
        <v/>
      </c>
    </row>
    <row r="23">
      <c r="A23" s="14" t="inlineStr">
        <is>
          <t>FF PAC</t>
        </is>
      </c>
      <c r="B23" s="14" t="inlineStr">
        <is>
          <t>Bob Brooks</t>
        </is>
      </c>
      <c r="C23" s="45" t="inlineStr">
        <is>
          <t>Supports</t>
        </is>
      </c>
      <c r="D23" s="46" t="n">
        <v>4500</v>
      </c>
      <c r="E23" s="14" t="n">
        <v>2</v>
      </c>
      <c r="F23" s="14" t="inlineStr">
        <is>
          <t>C00669259</t>
        </is>
      </c>
      <c r="G23" s="22">
        <f>IFERROR(D23/$D$38,"")</f>
        <v/>
      </c>
    </row>
    <row r="24">
      <c r="A24" s="14" t="inlineStr">
        <is>
          <t>WORKING FAMILIES PARTY PAC</t>
        </is>
      </c>
      <c r="B24" s="14" t="inlineStr">
        <is>
          <t>Bob Brooks</t>
        </is>
      </c>
      <c r="C24" s="45" t="inlineStr">
        <is>
          <t>Supports</t>
        </is>
      </c>
      <c r="D24" s="46" t="n">
        <v>3556.19</v>
      </c>
      <c r="E24" s="14" t="n">
        <v>1</v>
      </c>
      <c r="F24" s="14" t="inlineStr">
        <is>
          <t>C00606962</t>
        </is>
      </c>
      <c r="G24" s="22">
        <f>IFERROR(D24/$D$38,"")</f>
        <v/>
      </c>
    </row>
    <row r="25">
      <c r="A25" s="14" t="inlineStr">
        <is>
          <t>DEMOCRATIC FUTURE PAC</t>
        </is>
      </c>
      <c r="B25" s="14" t="inlineStr">
        <is>
          <t>Bob Brooks</t>
        </is>
      </c>
      <c r="C25" s="45" t="inlineStr">
        <is>
          <t>Supports</t>
        </is>
      </c>
      <c r="D25" s="46" t="n">
        <v>2600</v>
      </c>
      <c r="E25" s="14" t="n">
        <v>2</v>
      </c>
      <c r="F25" s="14" t="inlineStr">
        <is>
          <t>C00934273</t>
        </is>
      </c>
      <c r="G25" s="22">
        <f>IFERROR(D25/$D$38,"")</f>
        <v/>
      </c>
    </row>
    <row r="26">
      <c r="A26" s="14" t="inlineStr">
        <is>
          <t>INDIGO PAC</t>
        </is>
      </c>
      <c r="B26" s="14" t="inlineStr">
        <is>
          <t>Ryan Mackenzie</t>
        </is>
      </c>
      <c r="C26" s="45" t="inlineStr">
        <is>
          <t>Opposes</t>
        </is>
      </c>
      <c r="D26" s="46" t="n">
        <v>1835.77</v>
      </c>
      <c r="E26" s="14" t="n">
        <v>10</v>
      </c>
      <c r="F26" s="14" t="inlineStr">
        <is>
          <t>C00909465</t>
        </is>
      </c>
      <c r="G26" s="22">
        <f>IFERROR(D26/$D$38,"")</f>
        <v/>
      </c>
    </row>
    <row r="27">
      <c r="A27" s="14" t="inlineStr">
        <is>
          <t>ACTIVATE AMERICA</t>
        </is>
      </c>
      <c r="B27" s="14" t="inlineStr">
        <is>
          <t>Ryan Mackenzie</t>
        </is>
      </c>
      <c r="C27" s="45" t="inlineStr">
        <is>
          <t>Opposes</t>
        </is>
      </c>
      <c r="D27" s="46" t="n">
        <v>1702.29</v>
      </c>
      <c r="E27" s="14" t="n">
        <v>4</v>
      </c>
      <c r="F27" s="14" t="inlineStr">
        <is>
          <t>C00640300</t>
        </is>
      </c>
      <c r="G27" s="22">
        <f>IFERROR(D27/$D$38,"")</f>
        <v/>
      </c>
    </row>
    <row r="28">
      <c r="A28" s="14" t="inlineStr">
        <is>
          <t>RURAL FREEDOM NETWORK</t>
        </is>
      </c>
      <c r="B28" s="14" t="inlineStr">
        <is>
          <t>Ryan Mackenzie</t>
        </is>
      </c>
      <c r="C28" s="45" t="inlineStr">
        <is>
          <t>Opposes</t>
        </is>
      </c>
      <c r="D28" s="46" t="n">
        <v>1517.06</v>
      </c>
      <c r="E28" s="14" t="n">
        <v>1</v>
      </c>
      <c r="F28" s="14" t="inlineStr">
        <is>
          <t>C00647966</t>
        </is>
      </c>
      <c r="G28" s="22">
        <f>IFERROR(D28/$D$38,"")</f>
        <v/>
      </c>
    </row>
    <row r="29">
      <c r="A29" s="14" t="inlineStr">
        <is>
          <t>FIELD TEAM 6, INC.</t>
        </is>
      </c>
      <c r="B29" s="14" t="inlineStr">
        <is>
          <t>Ryan Mackenzie</t>
        </is>
      </c>
      <c r="C29" s="45" t="inlineStr">
        <is>
          <t>Opposes</t>
        </is>
      </c>
      <c r="D29" s="46" t="n">
        <v>1096.69</v>
      </c>
      <c r="E29" s="14" t="n">
        <v>2</v>
      </c>
      <c r="F29" s="14" t="inlineStr">
        <is>
          <t>C00909994</t>
        </is>
      </c>
      <c r="G29" s="22">
        <f>IFERROR(D29/$D$38,"")</f>
        <v/>
      </c>
    </row>
    <row r="30">
      <c r="A30" s="14" t="inlineStr">
        <is>
          <t>BLUE DEMOCRACY NETWORK</t>
        </is>
      </c>
      <c r="B30" s="14" t="inlineStr">
        <is>
          <t>Bob Brooks</t>
        </is>
      </c>
      <c r="C30" s="45" t="inlineStr">
        <is>
          <t>Supports</t>
        </is>
      </c>
      <c r="D30" s="46" t="n">
        <v>1075</v>
      </c>
      <c r="E30" s="14" t="n">
        <v>2</v>
      </c>
      <c r="F30" s="14" t="inlineStr">
        <is>
          <t>C00933796</t>
        </is>
      </c>
      <c r="G30" s="22">
        <f>IFERROR(D30/$D$38,"")</f>
        <v/>
      </c>
    </row>
    <row r="31">
      <c r="A31" s="14" t="inlineStr">
        <is>
          <t>BLUE MAJORITY MAKERS PAC</t>
        </is>
      </c>
      <c r="B31" s="14" t="inlineStr">
        <is>
          <t>Bob Brooks</t>
        </is>
      </c>
      <c r="C31" s="45" t="inlineStr">
        <is>
          <t>Supports</t>
        </is>
      </c>
      <c r="D31" s="46" t="n">
        <v>766.66</v>
      </c>
      <c r="E31" s="14" t="n">
        <v>2</v>
      </c>
      <c r="F31" s="14" t="inlineStr">
        <is>
          <t>C00948109</t>
        </is>
      </c>
      <c r="G31" s="22">
        <f>IFERROR(D31/$D$38,"")</f>
        <v/>
      </c>
    </row>
    <row r="32">
      <c r="A32" s="14" t="inlineStr">
        <is>
          <t>FIELD TEAM 6, INC.</t>
        </is>
      </c>
      <c r="B32" s="14" t="inlineStr">
        <is>
          <t>Bob Brooks</t>
        </is>
      </c>
      <c r="C32" s="45" t="inlineStr">
        <is>
          <t>Supports</t>
        </is>
      </c>
      <c r="D32" s="46" t="n">
        <v>638.3</v>
      </c>
      <c r="E32" s="14" t="n">
        <v>1</v>
      </c>
      <c r="F32" s="14" t="inlineStr">
        <is>
          <t>C00909994</t>
        </is>
      </c>
      <c r="G32" s="22">
        <f>IFERROR(D32/$D$38,"")</f>
        <v/>
      </c>
    </row>
    <row r="33">
      <c r="A33" s="14" t="inlineStr">
        <is>
          <t>SURJ PAC</t>
        </is>
      </c>
      <c r="B33" s="14" t="inlineStr">
        <is>
          <t>Bob Brooks</t>
        </is>
      </c>
      <c r="C33" s="45" t="inlineStr">
        <is>
          <t>Supports</t>
        </is>
      </c>
      <c r="D33" s="46" t="n">
        <v>187.51</v>
      </c>
      <c r="E33" s="14" t="n">
        <v>1</v>
      </c>
      <c r="F33" s="14" t="inlineStr">
        <is>
          <t>C00742205</t>
        </is>
      </c>
      <c r="G33" s="22">
        <f>IFERROR(D33/$D$38,"")</f>
        <v/>
      </c>
    </row>
    <row r="34">
      <c r="A34" s="14" t="inlineStr">
        <is>
          <t>RURAL FREEDOM NETWORK</t>
        </is>
      </c>
      <c r="B34" s="14" t="inlineStr">
        <is>
          <t>Bob Brooks</t>
        </is>
      </c>
      <c r="C34" s="45" t="inlineStr">
        <is>
          <t>Supports</t>
        </is>
      </c>
      <c r="D34" s="46" t="n">
        <v>157.07</v>
      </c>
      <c r="E34" s="14" t="n">
        <v>1</v>
      </c>
      <c r="F34" s="14" t="inlineStr">
        <is>
          <t>C00647966</t>
        </is>
      </c>
      <c r="G34" s="22">
        <f>IFERROR(D34/$D$38,"")</f>
        <v/>
      </c>
    </row>
    <row r="35">
      <c r="A35" s="14" t="inlineStr">
        <is>
          <t>PLANNED PARENTHOOD VOTES</t>
        </is>
      </c>
      <c r="B35" s="14" t="inlineStr">
        <is>
          <t>Ryan Mackenzie</t>
        </is>
      </c>
      <c r="C35" s="45" t="inlineStr">
        <is>
          <t>Opposes</t>
        </is>
      </c>
      <c r="D35" s="46" t="n">
        <v>156.81</v>
      </c>
      <c r="E35" s="14" t="n">
        <v>2</v>
      </c>
      <c r="F35" s="14" t="inlineStr">
        <is>
          <t>C00489799</t>
        </is>
      </c>
      <c r="G35" s="22">
        <f>IFERROR(D35/$D$38,"")</f>
        <v/>
      </c>
    </row>
    <row r="36">
      <c r="A36" s="14" t="inlineStr">
        <is>
          <t>THE PEOPLE UNITED PAC</t>
        </is>
      </c>
      <c r="B36" s="14" t="inlineStr">
        <is>
          <t>Bob Brooks</t>
        </is>
      </c>
      <c r="C36" s="45" t="inlineStr">
        <is>
          <t>Supports</t>
        </is>
      </c>
      <c r="D36" s="46" t="n">
        <v>50</v>
      </c>
      <c r="E36" s="14" t="n">
        <v>1</v>
      </c>
      <c r="F36" s="14" t="inlineStr">
        <is>
          <t>C00776419</t>
        </is>
      </c>
      <c r="G36" s="22">
        <f>IFERROR(D36/$D$38,"")</f>
        <v/>
      </c>
    </row>
    <row r="37">
      <c r="A37" s="14" t="inlineStr">
        <is>
          <t>GIVEGREEN UNITED ACTION</t>
        </is>
      </c>
      <c r="B37" s="14" t="inlineStr">
        <is>
          <t>Bob Brooks</t>
        </is>
      </c>
      <c r="C37" s="45" t="inlineStr">
        <is>
          <t>Supports</t>
        </is>
      </c>
      <c r="D37" s="46" t="n">
        <v>36.54</v>
      </c>
      <c r="E37" s="14" t="n">
        <v>2</v>
      </c>
      <c r="F37" s="14" t="inlineStr">
        <is>
          <t>C00802389</t>
        </is>
      </c>
      <c r="G37" s="22">
        <f>IFERROR(D37/$D$38,"")</f>
        <v/>
      </c>
    </row>
    <row r="38">
      <c r="A38" s="15" t="inlineStr">
        <is>
          <t>TOTAL</t>
        </is>
      </c>
      <c r="B38" s="20" t="n"/>
      <c r="C38" s="20" t="n"/>
      <c r="D38" s="47">
        <f>SUM(D6:D37)</f>
        <v/>
      </c>
      <c r="E38" s="20" t="n"/>
      <c r="F38" s="20" t="n"/>
      <c r="G38" s="36">
        <f>IFERROR(SUM(G6:G37),"")</f>
        <v/>
      </c>
    </row>
    <row r="40" ht="18" customHeight="1">
      <c r="A40" s="3" t="inlineStr">
        <is>
          <t>BY TARGET CANDIDATE AND STANCE</t>
        </is>
      </c>
      <c r="B40" s="4" t="n"/>
      <c r="C40" s="4" t="n"/>
      <c r="D40" s="4" t="n"/>
      <c r="E40" s="4" t="n"/>
      <c r="F40" s="4" t="n"/>
      <c r="G40" s="4" t="n"/>
    </row>
    <row r="41" ht="32" customHeight="1">
      <c r="A41" s="10" t="inlineStr">
        <is>
          <t>Target candidate</t>
        </is>
      </c>
      <c r="B41" s="10" t="inlineStr">
        <is>
          <t>Stance</t>
        </is>
      </c>
      <c r="C41" s="10" t="inlineStr">
        <is>
          <t>Amount</t>
        </is>
      </c>
      <c r="D41" s="10" t="inlineStr">
        <is>
          <t>Committees</t>
        </is>
      </c>
      <c r="E41" s="10" t="inlineStr">
        <is>
          <t>Share</t>
        </is>
      </c>
      <c r="F41" s="10" t="inlineStr"/>
      <c r="G41" s="10" t="inlineStr"/>
    </row>
    <row r="42">
      <c r="A42" s="14" t="inlineStr">
        <is>
          <t>Ryan Mackenzie</t>
        </is>
      </c>
      <c r="B42" s="14" t="inlineStr">
        <is>
          <t>Supports</t>
        </is>
      </c>
      <c r="C42" s="39">
        <f>SUMIFS($D$6:$D$37,$B$6:$B$37,A42,$C$6:$C$37,B42)</f>
        <v/>
      </c>
      <c r="D42" s="14">
        <f>COUNTIFS($B$6:$B$37,A42,$C$6:$C$37,B42)</f>
        <v/>
      </c>
      <c r="E42" s="22">
        <f>IFERROR(C42/$D$38,"")</f>
        <v/>
      </c>
    </row>
    <row r="43">
      <c r="A43" s="14" t="inlineStr">
        <is>
          <t>Ryan Mackenzie</t>
        </is>
      </c>
      <c r="B43" s="14" t="inlineStr">
        <is>
          <t>Opposes</t>
        </is>
      </c>
      <c r="C43" s="39">
        <f>SUMIFS($D$6:$D$37,$B$6:$B$37,A43,$C$6:$C$37,B43)</f>
        <v/>
      </c>
      <c r="D43" s="14">
        <f>COUNTIFS($B$6:$B$37,A43,$C$6:$C$37,B43)</f>
        <v/>
      </c>
      <c r="E43" s="22">
        <f>IFERROR(C43/$D$38,"")</f>
        <v/>
      </c>
    </row>
    <row r="44">
      <c r="A44" s="14" t="inlineStr">
        <is>
          <t>Bob Brooks</t>
        </is>
      </c>
      <c r="B44" s="14" t="inlineStr">
        <is>
          <t>Supports</t>
        </is>
      </c>
      <c r="C44" s="39">
        <f>SUMIFS($D$6:$D$37,$B$6:$B$37,A44,$C$6:$C$37,B44)</f>
        <v/>
      </c>
      <c r="D44" s="14">
        <f>COUNTIFS($B$6:$B$37,A44,$C$6:$C$37,B44)</f>
        <v/>
      </c>
      <c r="E44" s="22">
        <f>IFERROR(C44/$D$38,"")</f>
        <v/>
      </c>
    </row>
    <row r="45">
      <c r="A45" s="14" t="inlineStr">
        <is>
          <t>Bob Brooks</t>
        </is>
      </c>
      <c r="B45" s="14" t="inlineStr">
        <is>
          <t>Opposes</t>
        </is>
      </c>
      <c r="C45" s="39">
        <f>SUMIFS($D$6:$D$37,$B$6:$B$37,A45,$C$6:$C$37,B45)</f>
        <v/>
      </c>
      <c r="D45" s="14">
        <f>COUNTIFS($B$6:$B$37,A45,$C$6:$C$37,B45)</f>
        <v/>
      </c>
      <c r="E45" s="22">
        <f>IFERROR(C45/$D$38,"")</f>
        <v/>
      </c>
    </row>
    <row r="46">
      <c r="A46" s="14" t="inlineStr">
        <is>
          <t>Ryan Crosswell</t>
        </is>
      </c>
      <c r="B46" s="14" t="inlineStr">
        <is>
          <t>Supports</t>
        </is>
      </c>
      <c r="C46" s="39">
        <f>SUMIFS($D$6:$D$37,$B$6:$B$37,A46,$C$6:$C$37,B46)</f>
        <v/>
      </c>
      <c r="D46" s="14">
        <f>COUNTIFS($B$6:$B$37,A46,$C$6:$C$37,B46)</f>
        <v/>
      </c>
      <c r="E46" s="22">
        <f>IFERROR(C46/$D$38,"")</f>
        <v/>
      </c>
    </row>
    <row r="47">
      <c r="A47" s="14" t="inlineStr">
        <is>
          <t>Ryan Crosswell</t>
        </is>
      </c>
      <c r="B47" s="14" t="inlineStr">
        <is>
          <t>Opposes</t>
        </is>
      </c>
      <c r="C47" s="39">
        <f>SUMIFS($D$6:$D$37,$B$6:$B$37,A47,$C$6:$C$37,B47)</f>
        <v/>
      </c>
      <c r="D47" s="14">
        <f>COUNTIFS($B$6:$B$37,A47,$C$6:$C$37,B47)</f>
        <v/>
      </c>
      <c r="E47" s="22">
        <f>IFERROR(C47/$D$38,"")</f>
        <v/>
      </c>
    </row>
    <row r="48">
      <c r="A48" s="14" t="inlineStr">
        <is>
          <t>Carol Obando-Derstine</t>
        </is>
      </c>
      <c r="B48" s="14" t="inlineStr">
        <is>
          <t>Supports</t>
        </is>
      </c>
      <c r="C48" s="39">
        <f>SUMIFS($D$6:$D$37,$B$6:$B$37,A48,$C$6:$C$37,B48)</f>
        <v/>
      </c>
      <c r="D48" s="14">
        <f>COUNTIFS($B$6:$B$37,A48,$C$6:$C$37,B48)</f>
        <v/>
      </c>
      <c r="E48" s="22">
        <f>IFERROR(C48/$D$38,"")</f>
        <v/>
      </c>
    </row>
    <row r="49">
      <c r="A49" s="14" t="inlineStr">
        <is>
          <t>Carol Obando-Derstine</t>
        </is>
      </c>
      <c r="B49" s="14" t="inlineStr">
        <is>
          <t>Opposes</t>
        </is>
      </c>
      <c r="C49" s="39">
        <f>SUMIFS($D$6:$D$37,$B$6:$B$37,A49,$C$6:$C$37,B49)</f>
        <v/>
      </c>
      <c r="D49" s="14">
        <f>COUNTIFS($B$6:$B$37,A49,$C$6:$C$37,B49)</f>
        <v/>
      </c>
      <c r="E49" s="22">
        <f>IFERROR(C49/$D$38,"")</f>
        <v/>
      </c>
    </row>
    <row r="50">
      <c r="A50" s="14" t="inlineStr">
        <is>
          <t>Lamont McClure</t>
        </is>
      </c>
      <c r="B50" s="14" t="inlineStr">
        <is>
          <t>Supports</t>
        </is>
      </c>
      <c r="C50" s="39">
        <f>SUMIFS($D$6:$D$37,$B$6:$B$37,A50,$C$6:$C$37,B50)</f>
        <v/>
      </c>
      <c r="D50" s="14">
        <f>COUNTIFS($B$6:$B$37,A50,$C$6:$C$37,B50)</f>
        <v/>
      </c>
      <c r="E50" s="22">
        <f>IFERROR(C50/$D$38,"")</f>
        <v/>
      </c>
    </row>
    <row r="51">
      <c r="A51" s="14" t="inlineStr">
        <is>
          <t>Lamont McClure</t>
        </is>
      </c>
      <c r="B51" s="14" t="inlineStr">
        <is>
          <t>Opposes</t>
        </is>
      </c>
      <c r="C51" s="39">
        <f>SUMIFS($D$6:$D$37,$B$6:$B$37,A51,$C$6:$C$37,B51)</f>
        <v/>
      </c>
      <c r="D51" s="14">
        <f>COUNTIFS($B$6:$B$37,A51,$C$6:$C$37,B51)</f>
        <v/>
      </c>
      <c r="E51" s="22">
        <f>IFERROR(C51/$D$38,"")</f>
        <v/>
      </c>
    </row>
    <row r="52">
      <c r="A52" s="14" t="inlineStr">
        <is>
          <t>Mark Pinsley</t>
        </is>
      </c>
      <c r="B52" s="14" t="inlineStr">
        <is>
          <t>Supports</t>
        </is>
      </c>
      <c r="C52" s="39">
        <f>SUMIFS($D$6:$D$37,$B$6:$B$37,A52,$C$6:$C$37,B52)</f>
        <v/>
      </c>
      <c r="D52" s="14">
        <f>COUNTIFS($B$6:$B$37,A52,$C$6:$C$37,B52)</f>
        <v/>
      </c>
      <c r="E52" s="22">
        <f>IFERROR(C52/$D$38,"")</f>
        <v/>
      </c>
    </row>
    <row r="53">
      <c r="A53" s="14" t="inlineStr">
        <is>
          <t>Mark Pinsley</t>
        </is>
      </c>
      <c r="B53" s="14" t="inlineStr">
        <is>
          <t>Opposes</t>
        </is>
      </c>
      <c r="C53" s="39">
        <f>SUMIFS($D$6:$D$37,$B$6:$B$37,A53,$C$6:$C$37,B53)</f>
        <v/>
      </c>
      <c r="D53" s="14">
        <f>COUNTIFS($B$6:$B$37,A53,$C$6:$C$37,B53)</f>
        <v/>
      </c>
      <c r="E53" s="22">
        <f>IFERROR(C53/$D$38,"")</f>
        <v/>
      </c>
    </row>
    <row r="54">
      <c r="A54" s="14" t="inlineStr">
        <is>
          <t>Frank Golden</t>
        </is>
      </c>
      <c r="B54" s="14" t="inlineStr">
        <is>
          <t>Supports</t>
        </is>
      </c>
      <c r="C54" s="39">
        <f>SUMIFS($D$6:$D$37,$B$6:$B$37,A54,$C$6:$C$37,B54)</f>
        <v/>
      </c>
      <c r="D54" s="14">
        <f>COUNTIFS($B$6:$B$37,A54,$C$6:$C$37,B54)</f>
        <v/>
      </c>
      <c r="E54" s="22">
        <f>IFERROR(C54/$D$38,"")</f>
        <v/>
      </c>
    </row>
    <row r="55">
      <c r="A55" s="14" t="inlineStr">
        <is>
          <t>Frank Golden</t>
        </is>
      </c>
      <c r="B55" s="14" t="inlineStr">
        <is>
          <t>Opposes</t>
        </is>
      </c>
      <c r="C55" s="39">
        <f>SUMIFS($D$6:$D$37,$B$6:$B$37,A55,$C$6:$C$37,B55)</f>
        <v/>
      </c>
      <c r="D55" s="14">
        <f>COUNTIFS($B$6:$B$37,A55,$C$6:$C$37,B55)</f>
        <v/>
      </c>
      <c r="E55" s="22">
        <f>IFERROR(C55/$D$38,"")</f>
        <v/>
      </c>
    </row>
    <row r="56">
      <c r="A56" s="14" t="inlineStr">
        <is>
          <t>Aiden Alexander Gonzalez</t>
        </is>
      </c>
      <c r="B56" s="14" t="inlineStr">
        <is>
          <t>Supports</t>
        </is>
      </c>
      <c r="C56" s="39">
        <f>SUMIFS($D$6:$D$37,$B$6:$B$37,A56,$C$6:$C$37,B56)</f>
        <v/>
      </c>
      <c r="D56" s="14">
        <f>COUNTIFS($B$6:$B$37,A56,$C$6:$C$37,B56)</f>
        <v/>
      </c>
      <c r="E56" s="22">
        <f>IFERROR(C56/$D$38,"")</f>
        <v/>
      </c>
    </row>
    <row r="57">
      <c r="A57" s="14" t="inlineStr">
        <is>
          <t>Aiden Alexander Gonzalez</t>
        </is>
      </c>
      <c r="B57" s="14" t="inlineStr">
        <is>
          <t>Opposes</t>
        </is>
      </c>
      <c r="C57" s="39">
        <f>SUMIFS($D$6:$D$37,$B$6:$B$37,A57,$C$6:$C$37,B57)</f>
        <v/>
      </c>
      <c r="D57" s="14">
        <f>COUNTIFS($B$6:$B$37,A57,$C$6:$C$37,B57)</f>
        <v/>
      </c>
      <c r="E57" s="22">
        <f>IFERROR(C57/$D$38,"")</f>
        <v/>
      </c>
    </row>
    <row r="58">
      <c r="A58" s="14" t="inlineStr">
        <is>
          <t>Michael Ramon Granados Jr.</t>
        </is>
      </c>
      <c r="B58" s="14" t="inlineStr">
        <is>
          <t>Supports</t>
        </is>
      </c>
      <c r="C58" s="39">
        <f>SUMIFS($D$6:$D$37,$B$6:$B$37,A58,$C$6:$C$37,B58)</f>
        <v/>
      </c>
      <c r="D58" s="14">
        <f>COUNTIFS($B$6:$B$37,A58,$C$6:$C$37,B58)</f>
        <v/>
      </c>
      <c r="E58" s="22">
        <f>IFERROR(C58/$D$38,"")</f>
        <v/>
      </c>
    </row>
    <row r="59">
      <c r="A59" s="14" t="inlineStr">
        <is>
          <t>Michael Ramon Granados Jr.</t>
        </is>
      </c>
      <c r="B59" s="14" t="inlineStr">
        <is>
          <t>Opposes</t>
        </is>
      </c>
      <c r="C59" s="39">
        <f>SUMIFS($D$6:$D$37,$B$6:$B$37,A59,$C$6:$C$37,B59)</f>
        <v/>
      </c>
      <c r="D59" s="14">
        <f>COUNTIFS($B$6:$B$37,A59,$C$6:$C$37,B59)</f>
        <v/>
      </c>
      <c r="E59" s="22">
        <f>IFERROR(C59/$D$38,"")</f>
        <v/>
      </c>
    </row>
    <row r="60">
      <c r="A60" s="14" t="inlineStr">
        <is>
          <t>Lewis Shupe</t>
        </is>
      </c>
      <c r="B60" s="14" t="inlineStr">
        <is>
          <t>Supports</t>
        </is>
      </c>
      <c r="C60" s="39">
        <f>SUMIFS($D$6:$D$37,$B$6:$B$37,A60,$C$6:$C$37,B60)</f>
        <v/>
      </c>
      <c r="D60" s="14">
        <f>COUNTIFS($B$6:$B$37,A60,$C$6:$C$37,B60)</f>
        <v/>
      </c>
      <c r="E60" s="22">
        <f>IFERROR(C60/$D$38,"")</f>
        <v/>
      </c>
    </row>
    <row r="61">
      <c r="A61" s="14" t="inlineStr">
        <is>
          <t>Lewis Shupe</t>
        </is>
      </c>
      <c r="B61" s="14" t="inlineStr">
        <is>
          <t>Opposes</t>
        </is>
      </c>
      <c r="C61" s="39">
        <f>SUMIFS($D$6:$D$37,$B$6:$B$37,A61,$C$6:$C$37,B61)</f>
        <v/>
      </c>
      <c r="D61" s="14">
        <f>COUNTIFS($B$6:$B$37,A61,$C$6:$C$37,B61)</f>
        <v/>
      </c>
      <c r="E61" s="22">
        <f>IFERROR(C61/$D$38,"")</f>
        <v/>
      </c>
    </row>
    <row r="62">
      <c r="A62" s="15" t="inlineStr">
        <is>
          <t>TOTAL</t>
        </is>
      </c>
      <c r="B62" s="20" t="n"/>
      <c r="C62" s="17">
        <f>SUM(C42:C61)</f>
        <v/>
      </c>
      <c r="D62" s="15">
        <f>SUM(D42:D61)</f>
        <v/>
      </c>
      <c r="E62" s="20" t="n"/>
    </row>
    <row r="64" ht="13" customHeight="1">
      <c r="A64" s="44" t="inlineStr">
        <is>
          <t>HOW TO READ OUTSIDE SPENDING</t>
        </is>
      </c>
    </row>
    <row r="65" ht="36" customHeight="1">
      <c r="A65" s="32" t="inlineStr">
        <is>
          <t>- Candidate totals are cycle-to-date from each committee's most recent periodic report (FEC Form 3). Independent expenditures report continuously and are usually fresher than the candidate totals; the two are not as of the same date.</t>
        </is>
      </c>
    </row>
    <row r="66" ht="36" customHeight="1">
      <c r="A66" s="32" t="inlineStr">
        <is>
          <t>- Independent expenditures come from OpenFEC's schedules/schedule_e/by_candidate aggregate, FEC's own deduplication of amended and superseded filings. Summing raw itemized Schedule E lines instead would roughly double the figure and would be wrong.</t>
        </is>
      </c>
    </row>
    <row r="67" ht="24" customHeight="1">
      <c r="A67" s="32" t="inlineStr">
        <is>
          <t>- That aggregate can lag a 24-hour notice by several weeks. Spending reported by notice in the last month may not yet appear here.</t>
        </is>
      </c>
    </row>
    <row r="68" ht="24" customHeight="1">
      <c r="A68" s="32" t="inlineStr">
        <is>
          <t>- Candidates with no periodic report on file show blank fields, not $0. The FEC reports no figures for them, which is not the same as a confirmed zero.</t>
        </is>
      </c>
    </row>
    <row r="69" ht="48" customHeight="1">
      <c r="A6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70" ht="24" customHeight="1">
      <c r="A70" s="32" t="inlineStr">
        <is>
          <t>- 'Self-funding' is FEC's candidate_contribution: the candidate's own money given or loaned to the campaign this cycle.</t>
        </is>
      </c>
    </row>
  </sheetData>
  <mergeCells count="7">
    <mergeCell ref="A66:G66"/>
    <mergeCell ref="A70:G70"/>
    <mergeCell ref="A67:G67"/>
    <mergeCell ref="A69:G69"/>
    <mergeCell ref="A64:G64"/>
    <mergeCell ref="A65:G65"/>
    <mergeCell ref="A68:G68"/>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48" t="n">
        <v>2018</v>
      </c>
      <c r="B6" s="48" t="inlineStr">
        <is>
          <t>2018-11-06</t>
        </is>
      </c>
      <c r="C6" s="49" t="inlineStr">
        <is>
          <t>2018 PA Supreme Court remap (Lehigh Valley: Lehigh, Northampton, s. Monroe)</t>
        </is>
      </c>
      <c r="D6" s="48" t="inlineStr">
        <is>
          <t>Susan Wild</t>
        </is>
      </c>
      <c r="E6" s="50" t="inlineStr">
        <is>
          <t>DEM</t>
        </is>
      </c>
      <c r="F6" s="51" t="inlineStr">
        <is>
          <t>no</t>
        </is>
      </c>
      <c r="G6" s="52" t="n">
        <v>3320188.01</v>
      </c>
      <c r="H6" s="52" t="n">
        <v>3294280.32</v>
      </c>
      <c r="I6" s="52" t="n">
        <v>25907.69</v>
      </c>
      <c r="J6" s="52" t="n">
        <v>2216364.61</v>
      </c>
      <c r="K6" s="52" t="n">
        <v>535757.8199999999</v>
      </c>
      <c r="L6" s="52" t="n">
        <v>558727.21</v>
      </c>
      <c r="M6" s="52" t="n">
        <v>221405.25</v>
      </c>
      <c r="N6" s="53">
        <f>IF(ISNUMBER(G6),G6+L6+SUMIFS($M$6:$M$13,$A$6:$A$13,$A6,$E$6:$E$13,"&lt;&gt;"&amp;$E6),"")</f>
        <v/>
      </c>
      <c r="O6" s="54" t="n">
        <v>140813</v>
      </c>
      <c r="P6" s="55">
        <f>IF(AND(ISNUMBER(O6),SUMIFS($O$6:$O$13,$A$6:$A$13,$A6)&lt;&gt;0),O6/SUMIFS($O$6:$O$13,$A$6:$A$13,$A6),"")</f>
        <v/>
      </c>
      <c r="Q6" s="56" t="inlineStr">
        <is>
          <t>won</t>
        </is>
      </c>
      <c r="R6" s="57">
        <f>IF(AND(ISNUMBER(G6),ISNUMBER(O6),O6&lt;&gt;0),G6/O6,"")</f>
        <v/>
      </c>
      <c r="S6" s="57">
        <f>IF(AND(ISNUMBER(N6),ISNUMBER(O6),O6&lt;&gt;0),N6/O6,"")</f>
        <v/>
      </c>
    </row>
    <row r="7">
      <c r="A7" s="58" t="n">
        <v>2018</v>
      </c>
      <c r="B7" s="58" t="inlineStr">
        <is>
          <t>2018-11-06</t>
        </is>
      </c>
      <c r="C7" s="59" t="inlineStr">
        <is>
          <t>2018 PA Supreme Court remap (Lehigh Valley: Lehigh, Northampton, s. Monroe)</t>
        </is>
      </c>
      <c r="D7" s="58" t="inlineStr">
        <is>
          <t>Marty Nothstein</t>
        </is>
      </c>
      <c r="E7" s="60" t="inlineStr">
        <is>
          <t>REP</t>
        </is>
      </c>
      <c r="F7" s="14" t="inlineStr">
        <is>
          <t>no</t>
        </is>
      </c>
      <c r="G7" s="41" t="n">
        <v>985643.72</v>
      </c>
      <c r="H7" s="41" t="n">
        <v>958873.74</v>
      </c>
      <c r="I7" s="41" t="n">
        <v>26769.98</v>
      </c>
      <c r="J7" s="41" t="n">
        <v>611185.92</v>
      </c>
      <c r="K7" s="41" t="n">
        <v>223856.6</v>
      </c>
      <c r="L7" s="41" t="n">
        <v>132142.37</v>
      </c>
      <c r="M7" s="41" t="n">
        <v>1722119.87</v>
      </c>
      <c r="N7" s="39">
        <f>IF(ISNUMBER(G7),G7+L7+SUMIFS($M$6:$M$13,$A$6:$A$13,$A7,$E$6:$E$13,"&lt;&gt;"&amp;$E7),"")</f>
        <v/>
      </c>
      <c r="O7" s="61" t="n">
        <v>114437</v>
      </c>
      <c r="P7" s="62">
        <f>IF(AND(ISNUMBER(O7),SUMIFS($O$6:$O$13,$A$6:$A$13,$A7)&lt;&gt;0),O7/SUMIFS($O$6:$O$13,$A$6:$A$13,$A7),"")</f>
        <v/>
      </c>
      <c r="Q7" s="63" t="inlineStr">
        <is>
          <t>lost</t>
        </is>
      </c>
      <c r="R7" s="64">
        <f>IF(AND(ISNUMBER(G7),ISNUMBER(O7),O7&lt;&gt;0),G7/O7,"")</f>
        <v/>
      </c>
      <c r="S7" s="64">
        <f>IF(AND(ISNUMBER(N7),ISNUMBER(O7),O7&lt;&gt;0),N7/O7,"")</f>
        <v/>
      </c>
    </row>
    <row r="8">
      <c r="A8" s="48" t="n">
        <v>2020</v>
      </c>
      <c r="B8" s="48" t="inlineStr">
        <is>
          <t>2020-11-03</t>
        </is>
      </c>
      <c r="C8" s="49" t="inlineStr">
        <is>
          <t>2018 PA Supreme Court remap (Lehigh Valley: Lehigh, Northampton, s. Monroe)</t>
        </is>
      </c>
      <c r="D8" s="48" t="inlineStr">
        <is>
          <t>Susan Wild</t>
        </is>
      </c>
      <c r="E8" s="50" t="inlineStr">
        <is>
          <t>DEM</t>
        </is>
      </c>
      <c r="F8" s="51" t="inlineStr">
        <is>
          <t>yes</t>
        </is>
      </c>
      <c r="G8" s="52" t="n">
        <v>4644289.9</v>
      </c>
      <c r="H8" s="52" t="n">
        <v>4591501.23</v>
      </c>
      <c r="I8" s="52" t="n">
        <v>78696.36</v>
      </c>
      <c r="J8" s="52" t="n">
        <v>3417373.86</v>
      </c>
      <c r="K8" s="52" t="n">
        <v>1027681.99</v>
      </c>
      <c r="L8" s="52" t="n">
        <v>50133.76</v>
      </c>
      <c r="M8" s="52" t="n">
        <v>127595.71</v>
      </c>
      <c r="N8" s="53">
        <f>IF(ISNUMBER(G8),G8+L8+SUMIFS($M$6:$M$13,$A$6:$A$13,$A8,$E$6:$E$13,"&lt;&gt;"&amp;$E8),"")</f>
        <v/>
      </c>
      <c r="O8" s="54" t="n">
        <v>195475</v>
      </c>
      <c r="P8" s="55">
        <f>IF(AND(ISNUMBER(O8),SUMIFS($O$6:$O$13,$A$6:$A$13,$A8)&lt;&gt;0),O8/SUMIFS($O$6:$O$13,$A$6:$A$13,$A8),"")</f>
        <v/>
      </c>
      <c r="Q8" s="56" t="inlineStr">
        <is>
          <t>won</t>
        </is>
      </c>
      <c r="R8" s="57">
        <f>IF(AND(ISNUMBER(G8),ISNUMBER(O8),O8&lt;&gt;0),G8/O8,"")</f>
        <v/>
      </c>
      <c r="S8" s="57">
        <f>IF(AND(ISNUMBER(N8),ISNUMBER(O8),O8&lt;&gt;0),N8/O8,"")</f>
        <v/>
      </c>
    </row>
    <row r="9">
      <c r="A9" s="58" t="n">
        <v>2020</v>
      </c>
      <c r="B9" s="58" t="inlineStr">
        <is>
          <t>2020-11-03</t>
        </is>
      </c>
      <c r="C9" s="59" t="inlineStr">
        <is>
          <t>2018 PA Supreme Court remap (Lehigh Valley: Lehigh, Northampton, s. Monroe)</t>
        </is>
      </c>
      <c r="D9" s="58" t="inlineStr">
        <is>
          <t>Lisa Scheller</t>
        </is>
      </c>
      <c r="E9" s="60" t="inlineStr">
        <is>
          <t>REP</t>
        </is>
      </c>
      <c r="F9" s="14" t="inlineStr">
        <is>
          <t>no</t>
        </is>
      </c>
      <c r="G9" s="41" t="n">
        <v>3740779.05</v>
      </c>
      <c r="H9" s="41" t="n">
        <v>3661738.3</v>
      </c>
      <c r="I9" s="41" t="n">
        <v>79040.75</v>
      </c>
      <c r="J9" s="41" t="n">
        <v>998798.1899999999</v>
      </c>
      <c r="K9" s="41" t="n">
        <v>231174.7</v>
      </c>
      <c r="L9" s="41" t="n">
        <v>600145.5600000001</v>
      </c>
      <c r="M9" s="41" t="n">
        <v>1165.62</v>
      </c>
      <c r="N9" s="39">
        <f>IF(ISNUMBER(G9),G9+L9+SUMIFS($M$6:$M$13,$A$6:$A$13,$A9,$E$6:$E$13,"&lt;&gt;"&amp;$E9),"")</f>
        <v/>
      </c>
      <c r="O9" s="61" t="n">
        <v>181407</v>
      </c>
      <c r="P9" s="62">
        <f>IF(AND(ISNUMBER(O9),SUMIFS($O$6:$O$13,$A$6:$A$13,$A9)&lt;&gt;0),O9/SUMIFS($O$6:$O$13,$A$6:$A$13,$A9),"")</f>
        <v/>
      </c>
      <c r="Q9" s="63" t="inlineStr">
        <is>
          <t>lost</t>
        </is>
      </c>
      <c r="R9" s="64">
        <f>IF(AND(ISNUMBER(G9),ISNUMBER(O9),O9&lt;&gt;0),G9/O9,"")</f>
        <v/>
      </c>
      <c r="S9" s="64">
        <f>IF(AND(ISNUMBER(N9),ISNUMBER(O9),O9&lt;&gt;0),N9/O9,"")</f>
        <v/>
      </c>
    </row>
    <row r="10">
      <c r="A10" s="48" t="n">
        <v>2022</v>
      </c>
      <c r="B10" s="48" t="inlineStr">
        <is>
          <t>2022-11-08</t>
        </is>
      </c>
      <c r="C10" s="49" t="inlineStr">
        <is>
          <t>2022 post-census remap (Lehigh, Northampton, Carbon, part of Monroe)</t>
        </is>
      </c>
      <c r="D10" s="48" t="inlineStr">
        <is>
          <t>Susan Wild</t>
        </is>
      </c>
      <c r="E10" s="50" t="inlineStr">
        <is>
          <t>DEM</t>
        </is>
      </c>
      <c r="F10" s="51" t="inlineStr">
        <is>
          <t>yes</t>
        </is>
      </c>
      <c r="G10" s="52" t="n">
        <v>7002291.19</v>
      </c>
      <c r="H10" s="52" t="n">
        <v>7027026.2</v>
      </c>
      <c r="I10" s="52" t="n">
        <v>53961.35</v>
      </c>
      <c r="J10" s="52" t="n">
        <v>5366116.25</v>
      </c>
      <c r="K10" s="52" t="n">
        <v>1279735.82</v>
      </c>
      <c r="L10" s="52" t="n">
        <v>654900.95</v>
      </c>
      <c r="M10" s="52" t="n">
        <v>10853652.49</v>
      </c>
      <c r="N10" s="53">
        <f>IF(ISNUMBER(G10),G10+L10+SUMIFS($M$6:$M$13,$A$6:$A$13,$A10,$E$6:$E$13,"&lt;&gt;"&amp;$E10),"")</f>
        <v/>
      </c>
      <c r="O10" s="54" t="n">
        <v>151364</v>
      </c>
      <c r="P10" s="55">
        <f>IF(AND(ISNUMBER(O10),SUMIFS($O$6:$O$13,$A$6:$A$13,$A10)&lt;&gt;0),O10/SUMIFS($O$6:$O$13,$A$6:$A$13,$A10),"")</f>
        <v/>
      </c>
      <c r="Q10" s="56" t="inlineStr">
        <is>
          <t>won</t>
        </is>
      </c>
      <c r="R10" s="57">
        <f>IF(AND(ISNUMBER(G10),ISNUMBER(O10),O10&lt;&gt;0),G10/O10,"")</f>
        <v/>
      </c>
      <c r="S10" s="57">
        <f>IF(AND(ISNUMBER(N10),ISNUMBER(O10),O10&lt;&gt;0),N10/O10,"")</f>
        <v/>
      </c>
    </row>
    <row r="11">
      <c r="A11" s="58" t="n">
        <v>2022</v>
      </c>
      <c r="B11" s="58" t="inlineStr">
        <is>
          <t>2022-11-08</t>
        </is>
      </c>
      <c r="C11" s="59" t="inlineStr">
        <is>
          <t>2022 post-census remap (Lehigh, Northampton, Carbon, part of Monroe)</t>
        </is>
      </c>
      <c r="D11" s="58" t="inlineStr">
        <is>
          <t>Lisa Scheller</t>
        </is>
      </c>
      <c r="E11" s="60" t="inlineStr">
        <is>
          <t>REP</t>
        </is>
      </c>
      <c r="F11" s="14" t="inlineStr">
        <is>
          <t>no</t>
        </is>
      </c>
      <c r="G11" s="41" t="n">
        <v>6354578.69</v>
      </c>
      <c r="H11" s="41" t="n">
        <v>6432421.56</v>
      </c>
      <c r="I11" s="41" t="n">
        <v>2737.49</v>
      </c>
      <c r="J11" s="41" t="n">
        <v>2381481.34</v>
      </c>
      <c r="K11" s="41" t="n">
        <v>514762</v>
      </c>
      <c r="L11" s="41" t="n">
        <v>23268.88</v>
      </c>
      <c r="M11" s="41" t="n">
        <v>8764085.75</v>
      </c>
      <c r="N11" s="39">
        <f>IF(ISNUMBER(G11),G11+L11+SUMIFS($M$6:$M$13,$A$6:$A$13,$A11,$E$6:$E$13,"&lt;&gt;"&amp;$E11),"")</f>
        <v/>
      </c>
      <c r="O11" s="61" t="n">
        <v>145527</v>
      </c>
      <c r="P11" s="62">
        <f>IF(AND(ISNUMBER(O11),SUMIFS($O$6:$O$13,$A$6:$A$13,$A11)&lt;&gt;0),O11/SUMIFS($O$6:$O$13,$A$6:$A$13,$A11),"")</f>
        <v/>
      </c>
      <c r="Q11" s="63" t="inlineStr">
        <is>
          <t>lost</t>
        </is>
      </c>
      <c r="R11" s="64">
        <f>IF(AND(ISNUMBER(G11),ISNUMBER(O11),O11&lt;&gt;0),G11/O11,"")</f>
        <v/>
      </c>
      <c r="S11" s="64">
        <f>IF(AND(ISNUMBER(N11),ISNUMBER(O11),O11&lt;&gt;0),N11/O11,"")</f>
        <v/>
      </c>
    </row>
    <row r="12">
      <c r="A12" s="58" t="n">
        <v>2024</v>
      </c>
      <c r="B12" s="58" t="inlineStr">
        <is>
          <t>2024-11-05</t>
        </is>
      </c>
      <c r="C12" s="59" t="inlineStr">
        <is>
          <t>2022 post-census remap (Lehigh, Northampton, Carbon, part of Monroe)</t>
        </is>
      </c>
      <c r="D12" s="58" t="inlineStr">
        <is>
          <t>Susan Wild</t>
        </is>
      </c>
      <c r="E12" s="65" t="inlineStr">
        <is>
          <t>DEM</t>
        </is>
      </c>
      <c r="F12" s="14" t="inlineStr">
        <is>
          <t>yes</t>
        </is>
      </c>
      <c r="G12" s="41" t="n">
        <v>8960927.65</v>
      </c>
      <c r="H12" s="41" t="n">
        <v>8946230</v>
      </c>
      <c r="I12" s="41" t="n">
        <v>68659</v>
      </c>
      <c r="J12" s="41" t="n">
        <v>6604896.42</v>
      </c>
      <c r="K12" s="41" t="n">
        <v>1393265.46</v>
      </c>
      <c r="L12" s="41" t="n">
        <v>4568368.78</v>
      </c>
      <c r="M12" s="41" t="n">
        <v>10424863.22</v>
      </c>
      <c r="N12" s="39">
        <f>IF(ISNUMBER(G12),G12+L12+SUMIFS($M$6:$M$13,$A$6:$A$13,$A12,$E$6:$E$13,"&lt;&gt;"&amp;$E12),"")</f>
        <v/>
      </c>
      <c r="O12" s="61" t="n">
        <v>199626</v>
      </c>
      <c r="P12" s="62">
        <f>IF(AND(ISNUMBER(O12),SUMIFS($O$6:$O$13,$A$6:$A$13,$A12)&lt;&gt;0),O12/SUMIFS($O$6:$O$13,$A$6:$A$13,$A12),"")</f>
        <v/>
      </c>
      <c r="Q12" s="63" t="inlineStr">
        <is>
          <t>lost</t>
        </is>
      </c>
      <c r="R12" s="64">
        <f>IF(AND(ISNUMBER(G12),ISNUMBER(O12),O12&lt;&gt;0),G12/O12,"")</f>
        <v/>
      </c>
      <c r="S12" s="64">
        <f>IF(AND(ISNUMBER(N12),ISNUMBER(O12),O12&lt;&gt;0),N12/O12,"")</f>
        <v/>
      </c>
    </row>
    <row r="13">
      <c r="A13" s="48" t="n">
        <v>2024</v>
      </c>
      <c r="B13" s="48" t="inlineStr">
        <is>
          <t>2024-11-05</t>
        </is>
      </c>
      <c r="C13" s="49" t="inlineStr">
        <is>
          <t>2022 post-census remap (Lehigh, Northampton, Carbon, part of Monroe)</t>
        </is>
      </c>
      <c r="D13" s="48" t="inlineStr">
        <is>
          <t>Ryan Mackenzie</t>
        </is>
      </c>
      <c r="E13" s="66" t="inlineStr">
        <is>
          <t>REP</t>
        </is>
      </c>
      <c r="F13" s="51" t="inlineStr">
        <is>
          <t>no</t>
        </is>
      </c>
      <c r="G13" s="52" t="n">
        <v>1818407.11</v>
      </c>
      <c r="H13" s="52" t="n">
        <v>1715167.2</v>
      </c>
      <c r="I13" s="52" t="n">
        <v>103239.91</v>
      </c>
      <c r="J13" s="52" t="n">
        <v>886645.14</v>
      </c>
      <c r="K13" s="52" t="n">
        <v>419249.05</v>
      </c>
      <c r="L13" s="52" t="n">
        <v>1333061.79</v>
      </c>
      <c r="M13" s="52" t="n">
        <v>9962854.130000001</v>
      </c>
      <c r="N13" s="53">
        <f>IF(ISNUMBER(G13),G13+L13+SUMIFS($M$6:$M$13,$A$6:$A$13,$A13,$E$6:$E$13,"&lt;&gt;"&amp;$E13),"")</f>
        <v/>
      </c>
      <c r="O13" s="54" t="n">
        <v>203688</v>
      </c>
      <c r="P13" s="55">
        <f>IF(AND(ISNUMBER(O13),SUMIFS($O$6:$O$13,$A$6:$A$13,$A13)&lt;&gt;0),O13/SUMIFS($O$6:$O$13,$A$6:$A$13,$A13),"")</f>
        <v/>
      </c>
      <c r="Q13" s="56" t="inlineStr">
        <is>
          <t>won</t>
        </is>
      </c>
      <c r="R13" s="57">
        <f>IF(AND(ISNUMBER(G13),ISNUMBER(O13),O13&lt;&gt;0),G13/O13,"")</f>
        <v/>
      </c>
      <c r="S13" s="57">
        <f>IF(AND(ISNUMBER(N13),ISNUMBER(O13),O13&lt;&gt;0),N13/O13,"")</f>
        <v/>
      </c>
    </row>
    <row r="15" ht="13" customHeight="1">
      <c r="A15" s="44"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8" t="n">
        <v>2018</v>
      </c>
      <c r="B17" s="67" t="n"/>
      <c r="C17" s="67" t="n"/>
      <c r="D17" s="14" t="inlineStr">
        <is>
          <t>All candidates on the ballot</t>
        </is>
      </c>
      <c r="E17" s="67" t="n"/>
      <c r="F17" s="67" t="n"/>
      <c r="G17" s="67" t="n"/>
      <c r="H17" s="67" t="n"/>
      <c r="I17" s="67" t="n"/>
      <c r="J17" s="67" t="n"/>
      <c r="K17" s="67" t="n"/>
      <c r="L17" s="67" t="n"/>
      <c r="M17" s="67" t="n"/>
      <c r="N17" s="67" t="n"/>
      <c r="O17" s="61" t="n">
        <v>263360</v>
      </c>
      <c r="P17" s="61" t="n">
        <v>8110</v>
      </c>
      <c r="Q17" s="62">
        <f>IF(AND(ISNUMBER(O17),ISNUMBER(P17),O17&lt;&gt;0),P17/O17,"")</f>
        <v/>
      </c>
      <c r="R17" s="45">
        <f>IF(NOT(ISNUMBER(O17)),"not reported",IF(ABS(SUMIF($A$6:$A$13,$A17,$O$6:$O$13)+IF(ISNUMBER(P17),P17,0)-O17)&lt;0.5,"ok","MISMATCH"))</f>
        <v/>
      </c>
    </row>
    <row r="18">
      <c r="A18" s="58" t="n">
        <v>2020</v>
      </c>
      <c r="B18" s="67" t="n"/>
      <c r="C18" s="67" t="n"/>
      <c r="D18" s="14" t="inlineStr">
        <is>
          <t>All candidates on the ballot</t>
        </is>
      </c>
      <c r="E18" s="67" t="n"/>
      <c r="F18" s="67" t="n"/>
      <c r="G18" s="67" t="n"/>
      <c r="H18" s="67" t="n"/>
      <c r="I18" s="67" t="n"/>
      <c r="J18" s="67" t="n"/>
      <c r="K18" s="67" t="n"/>
      <c r="L18" s="67" t="n"/>
      <c r="M18" s="67" t="n"/>
      <c r="N18" s="67" t="n"/>
      <c r="O18" s="61" t="n">
        <v>377404</v>
      </c>
      <c r="P18" s="61" t="n">
        <v>522</v>
      </c>
      <c r="Q18" s="62">
        <f>IF(AND(ISNUMBER(O18),ISNUMBER(P18),O18&lt;&gt;0),P18/O18,"")</f>
        <v/>
      </c>
      <c r="R18" s="45">
        <f>IF(NOT(ISNUMBER(O18)),"not reported",IF(ABS(SUMIF($A$6:$A$13,$A18,$O$6:$O$13)+IF(ISNUMBER(P18),P18,0)-O18)&lt;0.5,"ok","MISMATCH"))</f>
        <v/>
      </c>
    </row>
    <row r="19">
      <c r="A19" s="58" t="n">
        <v>2022</v>
      </c>
      <c r="B19" s="67" t="n"/>
      <c r="C19" s="67" t="n"/>
      <c r="D19" s="14" t="inlineStr">
        <is>
          <t>All candidates on the ballot</t>
        </is>
      </c>
      <c r="E19" s="67" t="n"/>
      <c r="F19" s="67" t="n"/>
      <c r="G19" s="67" t="n"/>
      <c r="H19" s="67" t="n"/>
      <c r="I19" s="67" t="n"/>
      <c r="J19" s="67" t="n"/>
      <c r="K19" s="67" t="n"/>
      <c r="L19" s="67" t="n"/>
      <c r="M19" s="67" t="n"/>
      <c r="N19" s="67" t="n"/>
      <c r="O19" s="61" t="n">
        <v>297395</v>
      </c>
      <c r="P19" s="61" t="n">
        <v>504</v>
      </c>
      <c r="Q19" s="62">
        <f>IF(AND(ISNUMBER(O19),ISNUMBER(P19),O19&lt;&gt;0),P19/O19,"")</f>
        <v/>
      </c>
      <c r="R19" s="45">
        <f>IF(NOT(ISNUMBER(O19)),"not reported",IF(ABS(SUMIF($A$6:$A$13,$A19,$O$6:$O$13)+IF(ISNUMBER(P19),P19,0)-O19)&lt;0.5,"ok","MISMATCH"))</f>
        <v/>
      </c>
    </row>
    <row r="20">
      <c r="A20" s="58" t="n">
        <v>2024</v>
      </c>
      <c r="B20" s="67" t="n"/>
      <c r="C20" s="67" t="n"/>
      <c r="D20" s="14" t="inlineStr">
        <is>
          <t>All candidates on the ballot</t>
        </is>
      </c>
      <c r="E20" s="67" t="n"/>
      <c r="F20" s="67" t="n"/>
      <c r="G20" s="67" t="n"/>
      <c r="H20" s="67" t="n"/>
      <c r="I20" s="67" t="n"/>
      <c r="J20" s="67" t="n"/>
      <c r="K20" s="67" t="n"/>
      <c r="L20" s="67" t="n"/>
      <c r="M20" s="67" t="n"/>
      <c r="N20" s="67" t="n"/>
      <c r="O20" s="68" t="n"/>
      <c r="P20" s="68" t="n"/>
      <c r="Q20" s="69">
        <f>IF(AND(ISNUMBER(O20),ISNUMBER(P20),O20&lt;&gt;0),P20/O20,"")</f>
        <v/>
      </c>
      <c r="R20" s="45">
        <f>IF(NOT(ISNUMBER(O20)),"not reported",IF(ABS(SUMIF($A$6:$A$13,$A20,$O$6:$O$13)+IF(ISNUMBER(P20),P20,0)-O20)&lt;0.5,"ok","MISMATCH"))</f>
        <v/>
      </c>
    </row>
    <row r="21">
      <c r="D21" s="37" t="inlineStr">
        <is>
          <t>Check: two-party plus third-party equals total, for every cycle that reports a total</t>
        </is>
      </c>
      <c r="R21" s="70">
        <f>COUNTIF(R17:R20,"MISMATCH")</f>
        <v/>
      </c>
    </row>
    <row r="23" ht="13" customHeight="1">
      <c r="A23" s="44"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3" t="inlineStr">
        <is>
          <t>CHART 1: all aligned money by cycle</t>
        </is>
      </c>
    </row>
    <row r="3">
      <c r="R3" s="34" t="inlineStr">
        <is>
          <t>Cycle</t>
        </is>
      </c>
      <c r="S3" s="34" t="inlineStr">
        <is>
          <t>Democratic side</t>
        </is>
      </c>
      <c r="T3" s="34" t="inlineStr">
        <is>
          <t>Republican side</t>
        </is>
      </c>
    </row>
    <row r="4">
      <c r="R4" s="5" t="n">
        <v>2018</v>
      </c>
      <c r="S4" s="35">
        <f>'Money vs Results'!E6</f>
        <v/>
      </c>
      <c r="T4" s="35">
        <f>'Money vs Results'!F6</f>
        <v/>
      </c>
    </row>
    <row r="5">
      <c r="R5" s="5" t="n">
        <v>2020</v>
      </c>
      <c r="S5" s="35">
        <f>'Money vs Results'!E7</f>
        <v/>
      </c>
      <c r="T5" s="35">
        <f>'Money vs Results'!F7</f>
        <v/>
      </c>
    </row>
    <row r="6">
      <c r="R6" s="5" t="n">
        <v>2022</v>
      </c>
      <c r="S6" s="35">
        <f>'Money vs Results'!E8</f>
        <v/>
      </c>
      <c r="T6" s="35">
        <f>'Money vs Results'!F8</f>
        <v/>
      </c>
    </row>
    <row r="7">
      <c r="R7" s="5" t="n">
        <v>2024</v>
      </c>
      <c r="S7" s="35">
        <f>'Money vs Results'!E9</f>
        <v/>
      </c>
      <c r="T7" s="35">
        <f>'Money vs Results'!F9</f>
        <v/>
      </c>
    </row>
    <row r="9">
      <c r="R9" s="33" t="inlineStr">
        <is>
          <t>CHART 2: candidate receipts by cycle</t>
        </is>
      </c>
    </row>
    <row r="10">
      <c r="R10" s="34" t="inlineStr">
        <is>
          <t>Cycle</t>
        </is>
      </c>
      <c r="S10" s="34" t="inlineStr">
        <is>
          <t>Democratic nominee</t>
        </is>
      </c>
      <c r="T10" s="34" t="inlineStr">
        <is>
          <t>Republican nominee</t>
        </is>
      </c>
    </row>
    <row r="11">
      <c r="R11" s="5" t="n">
        <v>2018</v>
      </c>
      <c r="S11" s="35">
        <f>'Money vs Results'!B6</f>
        <v/>
      </c>
      <c r="T11" s="35">
        <f>'Money vs Results'!C6</f>
        <v/>
      </c>
    </row>
    <row r="12">
      <c r="R12" s="5" t="n">
        <v>2020</v>
      </c>
      <c r="S12" s="35">
        <f>'Money vs Results'!B7</f>
        <v/>
      </c>
      <c r="T12" s="35">
        <f>'Money vs Results'!C7</f>
        <v/>
      </c>
    </row>
    <row r="13">
      <c r="R13" s="5" t="n">
        <v>2022</v>
      </c>
      <c r="S13" s="35">
        <f>'Money vs Results'!B8</f>
        <v/>
      </c>
      <c r="T13" s="35">
        <f>'Money vs Results'!C8</f>
        <v/>
      </c>
    </row>
    <row r="14">
      <c r="R14" s="5" t="n">
        <v>2024</v>
      </c>
      <c r="S14" s="35">
        <f>'Money vs Results'!B9</f>
        <v/>
      </c>
      <c r="T14" s="35">
        <f>'Money vs Results'!C9</f>
        <v/>
      </c>
    </row>
    <row r="16">
      <c r="R16" s="33" t="inlineStr">
        <is>
          <t>CHART 3: aligned money share vs vote share (Model B)</t>
        </is>
      </c>
    </row>
    <row r="17">
      <c r="R17" s="34" t="inlineStr">
        <is>
          <t>Cycle</t>
        </is>
      </c>
      <c r="S17" s="34" t="inlineStr">
        <is>
          <t>D share of all aligned money</t>
        </is>
      </c>
      <c r="T17" s="34" t="inlineStr">
        <is>
          <t>D two-party vote share</t>
        </is>
      </c>
    </row>
    <row r="18">
      <c r="R18" s="5" t="n">
        <v>2018</v>
      </c>
      <c r="S18" s="71">
        <f>'Money vs Results'!G6</f>
        <v/>
      </c>
      <c r="T18" s="71">
        <f>'Money vs Results'!H6</f>
        <v/>
      </c>
    </row>
    <row r="19">
      <c r="R19" s="5" t="n">
        <v>2020</v>
      </c>
      <c r="S19" s="71">
        <f>'Money vs Results'!G7</f>
        <v/>
      </c>
      <c r="T19" s="71">
        <f>'Money vs Results'!H7</f>
        <v/>
      </c>
    </row>
    <row r="20">
      <c r="R20" s="5" t="n">
        <v>2022</v>
      </c>
      <c r="S20" s="71">
        <f>'Money vs Results'!G8</f>
        <v/>
      </c>
      <c r="T20" s="71">
        <f>'Money vs Results'!H8</f>
        <v/>
      </c>
    </row>
    <row r="21">
      <c r="R21" s="5" t="n">
        <v>2024</v>
      </c>
      <c r="S21" s="71">
        <f>'Money vs Results'!G9</f>
        <v/>
      </c>
      <c r="T21" s="71">
        <f>'Money vs Results'!H9</f>
        <v/>
      </c>
    </row>
    <row r="23">
      <c r="R23" s="33" t="inlineStr">
        <is>
          <t>CHART 4: receipts share vs vote share (Model A)</t>
        </is>
      </c>
    </row>
    <row r="24">
      <c r="R24" s="34" t="inlineStr">
        <is>
          <t>Cycle</t>
        </is>
      </c>
      <c r="S24" s="34" t="inlineStr">
        <is>
          <t>D share of candidate receipts</t>
        </is>
      </c>
      <c r="T24" s="34" t="inlineStr">
        <is>
          <t>D two-party vote share</t>
        </is>
      </c>
    </row>
    <row r="25">
      <c r="R25" s="5" t="n">
        <v>2018</v>
      </c>
      <c r="S25" s="71">
        <f>'Money vs Results'!D6</f>
        <v/>
      </c>
      <c r="T25" s="71">
        <f>'Money vs Results'!H6</f>
        <v/>
      </c>
    </row>
    <row r="26">
      <c r="R26" s="5" t="n">
        <v>2020</v>
      </c>
      <c r="S26" s="71">
        <f>'Money vs Results'!D7</f>
        <v/>
      </c>
      <c r="T26" s="71">
        <f>'Money vs Results'!H7</f>
        <v/>
      </c>
    </row>
    <row r="27">
      <c r="R27" s="5" t="n">
        <v>2022</v>
      </c>
      <c r="S27" s="71">
        <f>'Money vs Results'!D8</f>
        <v/>
      </c>
      <c r="T27" s="71">
        <f>'Money vs Results'!H8</f>
        <v/>
      </c>
    </row>
    <row r="28">
      <c r="R28" s="5" t="n">
        <v>2024</v>
      </c>
      <c r="S28" s="71">
        <f>'Money vs Results'!D9</f>
        <v/>
      </c>
      <c r="T28" s="71">
        <f>'Money vs Results'!H9</f>
        <v/>
      </c>
    </row>
    <row r="30">
      <c r="R30" s="33" t="inlineStr">
        <is>
          <t>CHART 5: Democratic two-party vote share</t>
        </is>
      </c>
    </row>
    <row r="31">
      <c r="R31" s="34" t="inlineStr">
        <is>
          <t>Cycle</t>
        </is>
      </c>
      <c r="S31" s="34" t="inlineStr">
        <is>
          <t>D two-party vote share</t>
        </is>
      </c>
      <c r="T31" s="34" t="inlineStr">
        <is>
          <t>50%</t>
        </is>
      </c>
    </row>
    <row r="32">
      <c r="R32" s="5" t="n">
        <v>2018</v>
      </c>
      <c r="S32" s="71">
        <f>'Money vs Results'!H6</f>
        <v/>
      </c>
      <c r="T32" s="72" t="n">
        <v>0.5</v>
      </c>
    </row>
    <row r="33">
      <c r="R33" s="5" t="n">
        <v>2020</v>
      </c>
      <c r="S33" s="71">
        <f>'Money vs Results'!H7</f>
        <v/>
      </c>
      <c r="T33" s="72" t="n">
        <v>0.5</v>
      </c>
    </row>
    <row r="34">
      <c r="R34" s="5" t="n">
        <v>2022</v>
      </c>
      <c r="S34" s="71">
        <f>'Money vs Results'!H8</f>
        <v/>
      </c>
      <c r="T34" s="72" t="n">
        <v>0.5</v>
      </c>
    </row>
    <row r="35">
      <c r="R35" s="5" t="n">
        <v>2024</v>
      </c>
      <c r="S35" s="71">
        <f>'Money vs Results'!H9</f>
        <v/>
      </c>
      <c r="T35" s="72" t="n">
        <v>0.5</v>
      </c>
    </row>
    <row r="37">
      <c r="R37" s="33" t="inlineStr">
        <is>
          <t>CHART 6: candidate money vs outside money</t>
        </is>
      </c>
    </row>
    <row r="38">
      <c r="R38" s="34" t="inlineStr">
        <is>
          <t>Cycle</t>
        </is>
      </c>
      <c r="S38" s="34" t="inlineStr">
        <is>
          <t>Candidate committees</t>
        </is>
      </c>
      <c r="T38" s="34" t="inlineStr">
        <is>
          <t>Outside spending</t>
        </is>
      </c>
    </row>
    <row r="39">
      <c r="R39" s="5" t="n">
        <v>2018</v>
      </c>
      <c r="S39" s="35">
        <f>'Money vs Results'!B6+'Money vs Results'!C6</f>
        <v/>
      </c>
      <c r="T39" s="35">
        <f>('Money vs Results'!E6+'Money vs Results'!F6)-('Money vs Results'!B6+'Money vs Results'!C6)</f>
        <v/>
      </c>
    </row>
    <row r="40">
      <c r="R40" s="5" t="n">
        <v>2020</v>
      </c>
      <c r="S40" s="35">
        <f>'Money vs Results'!B7+'Money vs Results'!C7</f>
        <v/>
      </c>
      <c r="T40" s="35">
        <f>('Money vs Results'!E7+'Money vs Results'!F7)-('Money vs Results'!B7+'Money vs Results'!C7)</f>
        <v/>
      </c>
    </row>
    <row r="41">
      <c r="R41" s="5" t="n">
        <v>2022</v>
      </c>
      <c r="S41" s="35">
        <f>'Money vs Results'!B8+'Money vs Results'!C8</f>
        <v/>
      </c>
      <c r="T41" s="35">
        <f>('Money vs Results'!E8+'Money vs Results'!F8)-('Money vs Results'!B8+'Money vs Results'!C8)</f>
        <v/>
      </c>
    </row>
    <row r="42">
      <c r="R42" s="5" t="n">
        <v>2024</v>
      </c>
      <c r="S42" s="35">
        <f>'Money vs Results'!B9+'Money vs Results'!C9</f>
        <v/>
      </c>
      <c r="T42" s="35">
        <f>('Money vs Results'!E9+'Money vs Results'!F9)-('Money vs Results'!B9+'Money vs Results'!C9)</f>
        <v/>
      </c>
    </row>
    <row r="44">
      <c r="R44" s="33" t="inlineStr">
        <is>
          <t>CHART 7: receipts per vote received</t>
        </is>
      </c>
    </row>
    <row r="45">
      <c r="R45" s="34" t="inlineStr">
        <is>
          <t>Candidate</t>
        </is>
      </c>
      <c r="S45" s="34" t="inlineStr">
        <is>
          <t>Receipts per vote</t>
        </is>
      </c>
    </row>
    <row r="46">
      <c r="R46" s="5" t="inlineStr">
        <is>
          <t>2018 Wild (D)</t>
        </is>
      </c>
      <c r="S46" s="73">
        <f>History!R6</f>
        <v/>
      </c>
    </row>
    <row r="47">
      <c r="R47" s="5" t="inlineStr">
        <is>
          <t>2018 Nothstein (R)</t>
        </is>
      </c>
      <c r="S47" s="73">
        <f>History!R7</f>
        <v/>
      </c>
    </row>
    <row r="48">
      <c r="R48" s="5" t="inlineStr">
        <is>
          <t>2020 Wild (D)</t>
        </is>
      </c>
      <c r="S48" s="73">
        <f>History!R8</f>
        <v/>
      </c>
    </row>
    <row r="49">
      <c r="R49" s="5" t="inlineStr">
        <is>
          <t>2020 Scheller (R)</t>
        </is>
      </c>
      <c r="S49" s="73">
        <f>History!R9</f>
        <v/>
      </c>
    </row>
    <row r="50">
      <c r="R50" s="5" t="inlineStr">
        <is>
          <t>2022 Wild (D)</t>
        </is>
      </c>
      <c r="S50" s="73">
        <f>History!R10</f>
        <v/>
      </c>
    </row>
    <row r="51">
      <c r="R51" s="5" t="inlineStr">
        <is>
          <t>2022 Scheller (R)</t>
        </is>
      </c>
      <c r="S51" s="73">
        <f>History!R11</f>
        <v/>
      </c>
    </row>
    <row r="52">
      <c r="R52" s="5" t="inlineStr">
        <is>
          <t>2024 Wild (D)</t>
        </is>
      </c>
      <c r="S52" s="73">
        <f>History!R12</f>
        <v/>
      </c>
    </row>
    <row r="53">
      <c r="R53" s="5" t="inlineStr">
        <is>
          <t>2024 Mackenzie (R)</t>
        </is>
      </c>
      <c r="S53" s="73">
        <f>History!R13</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2">
        <f>IF(B6+C6=0,"",B6/(B6+C6))</f>
        <v/>
      </c>
      <c r="E6" s="12">
        <f>SUMIFS(History!$N$6:$N$13,History!$A$6:$A$13,$A6,History!$E$6:$E$13,"DEM")</f>
        <v/>
      </c>
      <c r="F6" s="12">
        <f>SUMIFS(History!$N$6:$N$13,History!$A$6:$A$13,$A6,History!$E$6:$E$13,"REP")</f>
        <v/>
      </c>
      <c r="G6" s="62">
        <f>IF(E6+F6=0,"",E6/(E6+F6))</f>
        <v/>
      </c>
      <c r="H6" s="26">
        <f>SUMIFS(History!$P$6:$P$13,History!$A$6:$A$13,$A6,History!$E$6:$E$13,"DEM")</f>
        <v/>
      </c>
    </row>
    <row r="7">
      <c r="A7" s="11" t="n">
        <v>2020</v>
      </c>
      <c r="B7" s="12">
        <f>SUMIFS(History!$G$6:$G$13,History!$A$6:$A$13,$A7,History!$E$6:$E$13,"DEM")</f>
        <v/>
      </c>
      <c r="C7" s="12">
        <f>SUMIFS(History!$G$6:$G$13,History!$A$6:$A$13,$A7,History!$E$6:$E$13,"REP")</f>
        <v/>
      </c>
      <c r="D7" s="62">
        <f>IF(B7+C7=0,"",B7/(B7+C7))</f>
        <v/>
      </c>
      <c r="E7" s="12">
        <f>SUMIFS(History!$N$6:$N$13,History!$A$6:$A$13,$A7,History!$E$6:$E$13,"DEM")</f>
        <v/>
      </c>
      <c r="F7" s="12">
        <f>SUMIFS(History!$N$6:$N$13,History!$A$6:$A$13,$A7,History!$E$6:$E$13,"REP")</f>
        <v/>
      </c>
      <c r="G7" s="62">
        <f>IF(E7+F7=0,"",E7/(E7+F7))</f>
        <v/>
      </c>
      <c r="H7" s="26">
        <f>SUMIFS(History!$P$6:$P$13,History!$A$6:$A$13,$A7,History!$E$6:$E$13,"DEM")</f>
        <v/>
      </c>
    </row>
    <row r="8">
      <c r="A8" s="11" t="n">
        <v>2022</v>
      </c>
      <c r="B8" s="12">
        <f>SUMIFS(History!$G$6:$G$13,History!$A$6:$A$13,$A8,History!$E$6:$E$13,"DEM")</f>
        <v/>
      </c>
      <c r="C8" s="12">
        <f>SUMIFS(History!$G$6:$G$13,History!$A$6:$A$13,$A8,History!$E$6:$E$13,"REP")</f>
        <v/>
      </c>
      <c r="D8" s="62">
        <f>IF(B8+C8=0,"",B8/(B8+C8))</f>
        <v/>
      </c>
      <c r="E8" s="12">
        <f>SUMIFS(History!$N$6:$N$13,History!$A$6:$A$13,$A8,History!$E$6:$E$13,"DEM")</f>
        <v/>
      </c>
      <c r="F8" s="12">
        <f>SUMIFS(History!$N$6:$N$13,History!$A$6:$A$13,$A8,History!$E$6:$E$13,"REP")</f>
        <v/>
      </c>
      <c r="G8" s="62">
        <f>IF(E8+F8=0,"",E8/(E8+F8))</f>
        <v/>
      </c>
      <c r="H8" s="26">
        <f>SUMIFS(History!$P$6:$P$13,History!$A$6:$A$13,$A8,History!$E$6:$E$13,"DEM")</f>
        <v/>
      </c>
    </row>
    <row r="9">
      <c r="A9" s="11" t="n">
        <v>2024</v>
      </c>
      <c r="B9" s="12">
        <f>SUMIFS(History!$G$6:$G$13,History!$A$6:$A$13,$A9,History!$E$6:$E$13,"DEM")</f>
        <v/>
      </c>
      <c r="C9" s="12">
        <f>SUMIFS(History!$G$6:$G$13,History!$A$6:$A$13,$A9,History!$E$6:$E$13,"REP")</f>
        <v/>
      </c>
      <c r="D9" s="62">
        <f>IF(B9+C9=0,"",B9/(B9+C9))</f>
        <v/>
      </c>
      <c r="E9" s="12">
        <f>SUMIFS(History!$N$6:$N$13,History!$A$6:$A$13,$A9,History!$E$6:$E$13,"DEM")</f>
        <v/>
      </c>
      <c r="F9" s="12">
        <f>SUMIFS(History!$N$6:$N$13,History!$A$6:$A$13,$A9,History!$E$6:$E$13,"REP")</f>
        <v/>
      </c>
      <c r="G9" s="62">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4">
        <f>COUNT(H6:H9)</f>
        <v/>
      </c>
      <c r="C13" s="74">
        <f>COUNT(H6:H9)</f>
        <v/>
      </c>
    </row>
    <row r="14">
      <c r="A14" s="14" t="inlineStr">
        <is>
          <t>Pearson correlation r</t>
        </is>
      </c>
      <c r="B14" s="75">
        <f>IFERROR(CORREL(D6:D9,H6:H9),"")</f>
        <v/>
      </c>
      <c r="C14" s="75">
        <f>IFERROR(CORREL(G6:G9,H6:H9),"")</f>
        <v/>
      </c>
    </row>
    <row r="15">
      <c r="A15" s="14" t="inlineStr">
        <is>
          <t>R squared (variance explained)</t>
        </is>
      </c>
      <c r="B15" s="76">
        <f>IFERROR(RSQ(H6:H9,D6:D9),"")</f>
        <v/>
      </c>
      <c r="C15" s="76">
        <f>IFERROR(RSQ(H6:H9,G6:G9),"")</f>
        <v/>
      </c>
    </row>
    <row r="16">
      <c r="A16" s="14" t="inlineStr">
        <is>
          <t>Slope (change in vote share per 1.0 of money share)</t>
        </is>
      </c>
      <c r="B16" s="75">
        <f>IFERROR(SLOPE(H6:H9,D6:D9),"")</f>
        <v/>
      </c>
      <c r="C16" s="75">
        <f>IFERROR(SLOPE(H6:H9,G6:G9),"")</f>
        <v/>
      </c>
    </row>
    <row r="17">
      <c r="A17" s="14" t="inlineStr">
        <is>
          <t>Intercept</t>
        </is>
      </c>
      <c r="B17" s="76">
        <f>IFERROR(INTERCEPT(H6:H9,D6:D9),"")</f>
        <v/>
      </c>
      <c r="C17" s="76">
        <f>IFERROR(INTERCEPT(H6:H9,G6:G9),"")</f>
        <v/>
      </c>
    </row>
    <row r="18">
      <c r="A18" s="14" t="inlineStr">
        <is>
          <t>Standard error of the slope</t>
        </is>
      </c>
      <c r="B18" s="77">
        <f>IFERROR(STEYX(H6:H9,D6:D9)/SQRT(DEVSQ(D6:D9)),"")</f>
        <v/>
      </c>
      <c r="C18" s="77">
        <f>IFERROR(STEYX(H6:H9,G6:G9)/SQRT(DEVSQ(G6:G9)),"")</f>
        <v/>
      </c>
    </row>
    <row r="19">
      <c r="A19" s="14" t="inlineStr">
        <is>
          <t>t-statistic for the slope</t>
        </is>
      </c>
      <c r="B19" s="75">
        <f>IF(AND(ISNUMBER(B16),ISNUMBER(B18),B18&lt;&gt;0),B16/B18,"")</f>
        <v/>
      </c>
      <c r="C19" s="75">
        <f>IF(AND(ISNUMBER(C16),ISNUMBER(C18),C18&lt;&gt;0),C16/C18,"")</f>
        <v/>
      </c>
    </row>
    <row r="20">
      <c r="A20" s="14" t="inlineStr">
        <is>
          <t>p-value (two-tailed)</t>
        </is>
      </c>
      <c r="B20" s="78">
        <f>IF(AND(ISNUMBER(B19),B21&gt;0),IFERROR(TDIST(ABS(B19),B21,2),""),"")</f>
        <v/>
      </c>
      <c r="C20" s="78">
        <f>IF(AND(ISNUMBER(C19),C21&gt;0),IFERROR(TDIST(ABS(C19),C21,2),""),"")</f>
        <v/>
      </c>
    </row>
    <row r="21">
      <c r="A21" s="14" t="inlineStr">
        <is>
          <t>Degrees of freedom</t>
        </is>
      </c>
      <c r="B21" s="74">
        <f>IF(ISNUMBER(B13),B13-2,"")</f>
        <v/>
      </c>
      <c r="C21" s="74">
        <f>IF(ISNUMBER(C13),C13-2,"")</f>
        <v/>
      </c>
    </row>
    <row r="22">
      <c r="A22" s="11" t="inlineStr">
        <is>
          <t>Statistically significant at p &lt; 0.05?</t>
        </is>
      </c>
      <c r="B22" s="79">
        <f>IF(ISNUMBER(B20),IF(B20&lt;0.05,"yes","no: cannot reject the null"),"")</f>
        <v/>
      </c>
      <c r="C22" s="79">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2">
        <f>IF(AND(ISNUMBER($C$17),ISNUMBER($C$16),ISNUMBER(E26)),$C$17+$C$16*E26,"")</f>
        <v/>
      </c>
      <c r="D26" s="80">
        <f>IF(AND(ISNUMBER(B26),ISNUMBER(C26)),B26-C26,"")</f>
        <v/>
      </c>
      <c r="E26" s="26">
        <f>G6</f>
        <v/>
      </c>
    </row>
    <row r="27">
      <c r="A27" s="23">
        <f>A7</f>
        <v/>
      </c>
      <c r="B27" s="26">
        <f>H7</f>
        <v/>
      </c>
      <c r="C27" s="62">
        <f>IF(AND(ISNUMBER($C$17),ISNUMBER($C$16),ISNUMBER(E27)),$C$17+$C$16*E27,"")</f>
        <v/>
      </c>
      <c r="D27" s="80">
        <f>IF(AND(ISNUMBER(B27),ISNUMBER(C27)),B27-C27,"")</f>
        <v/>
      </c>
      <c r="E27" s="26">
        <f>G7</f>
        <v/>
      </c>
    </row>
    <row r="28">
      <c r="A28" s="23">
        <f>A8</f>
        <v/>
      </c>
      <c r="B28" s="26">
        <f>H8</f>
        <v/>
      </c>
      <c r="C28" s="62">
        <f>IF(AND(ISNUMBER($C$17),ISNUMBER($C$16),ISNUMBER(E28)),$C$17+$C$16*E28,"")</f>
        <v/>
      </c>
      <c r="D28" s="80">
        <f>IF(AND(ISNUMBER(B28),ISNUMBER(C28)),B28-C28,"")</f>
        <v/>
      </c>
      <c r="E28" s="26">
        <f>G8</f>
        <v/>
      </c>
    </row>
    <row r="29">
      <c r="A29" s="23">
        <f>A9</f>
        <v/>
      </c>
      <c r="B29" s="26">
        <f>H9</f>
        <v/>
      </c>
      <c r="C29" s="62">
        <f>IF(AND(ISNUMBER($C$17),ISNUMBER($C$16),ISNUMBER(E29)),$C$17+$C$16*E29,"")</f>
        <v/>
      </c>
      <c r="D29" s="80">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A33"/>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1" t="inlineStr">
        <is>
          <t>Current cycle: FEC / OpenFEC API, https://www.fec.gov/data/elections/house/PA/07/2026/, retrieved 2026-09-17T15:59:52Z</t>
        </is>
      </c>
    </row>
    <row r="5" ht="108" customHeight="1">
      <c r="A5" s="81" t="inlineStr">
        <is>
          <t>History, finance: OpenFEC API (finance); certified results from sources/results.json, retrieved 2026-09-17T15:59:59Z</t>
        </is>
      </c>
    </row>
    <row r="6" ht="168" customHeight="1">
      <c r="A6" s="81" t="inlineStr">
        <is>
          <t>History, 2018 results: FEC, Federal Elections 2018, '2018 US House Results by State', district '07 - FULL TERM' (https://www.fec.gov/documents/2706/federalelections2018.xlsx)</t>
        </is>
      </c>
    </row>
    <row r="7" ht="156" customHeight="1">
      <c r="A7" s="81" t="inlineStr">
        <is>
          <t>History, 2020 results: FEC, Federal Elections 2020, '13. US House Results by State', district '07' (https://www.fec.gov/documents/4228/federalelections2020.xlsx)</t>
        </is>
      </c>
    </row>
    <row r="8" ht="156" customHeight="1">
      <c r="A8" s="81" t="inlineStr">
        <is>
          <t>History, 2022 results: FEC, Federal Elections 2022, '8. US House Results by State', district '07' (https://www.fec.gov/documents/5676/federalelections2022.xlsx)</t>
        </is>
      </c>
    </row>
    <row r="9" ht="204" customHeight="1">
      <c r="A9" s="81"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7" ht="18" customHeight="1">
      <c r="A27" s="3" t="inlineStr">
        <is>
          <t>METHOD</t>
        </is>
      </c>
    </row>
    <row r="28" ht="132" customHeight="1">
      <c r="A28" s="32" t="inlineStr">
        <is>
          <t>- Candidate lookups use INDEX/MATCH keyed to the candidate name, never a row position; the FEC returns candidates in no guaranteed order.</t>
        </is>
      </c>
    </row>
    <row r="29" ht="72" customHeight="1">
      <c r="A29" s="32" t="inlineStr">
        <is>
          <t>- Candidates who have never filed are left blank rather than set to $0.</t>
        </is>
      </c>
    </row>
    <row r="30" ht="84" customHeight="1">
      <c r="A30" s="32" t="inlineStr">
        <is>
          <t>- Arithmetic that could read a blank cell as zero is guarded with ISNUMBER on both sides.</t>
        </is>
      </c>
    </row>
    <row r="31" ht="156" customHeight="1">
      <c r="A31" s="32" t="inlineStr">
        <is>
          <t>- 'Other / unclassified' on Candidate Totals is a residual formula. The reconciliation row on Money Sources proves the components sum exactly to reported receipts.</t>
        </is>
      </c>
    </row>
    <row r="32" ht="84" customHeight="1">
      <c r="A32" s="32" t="inlineStr">
        <is>
          <t>- Independent expenditures are OpenFEC's deduplicated by_candidate aggregates.</t>
        </is>
      </c>
    </row>
    <row r="33" ht="96" customHeight="1">
      <c r="A33" s="32" t="inlineStr">
        <is>
          <t>- This workbook is rebuilt from sources/ on every scheduled run of the pa07-finance repository.</t>
        </is>
      </c>
    </row>
  </sheetData>
  <mergeCells count="26">
    <mergeCell ref="A8"/>
    <mergeCell ref="A22"/>
    <mergeCell ref="A17"/>
    <mergeCell ref="A4"/>
    <mergeCell ref="A29"/>
    <mergeCell ref="A20"/>
    <mergeCell ref="A28"/>
    <mergeCell ref="A19"/>
    <mergeCell ref="A13"/>
    <mergeCell ref="A31"/>
    <mergeCell ref="A9"/>
    <mergeCell ref="A30"/>
    <mergeCell ref="A15"/>
    <mergeCell ref="A24"/>
    <mergeCell ref="A6"/>
    <mergeCell ref="A7"/>
    <mergeCell ref="A25"/>
    <mergeCell ref="A16"/>
    <mergeCell ref="A12"/>
    <mergeCell ref="A18"/>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2026-09-17T16:30:45Z</dcterms:created>
  <dcterms:modified xmlns:dcterms="http://purl.org/dc/terms/" xmlns:xsi="http://www.w3.org/2001/XMLSchema-instance" xsi:type="dcterms:W3CDTF">2026-09-17T16:30:45Z</dcterms:modified>
</cp:coreProperties>
</file>