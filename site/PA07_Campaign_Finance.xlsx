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Money Sources" sheetId="3" state="visible" r:id="rId3"/>
    <sheet name="Candidate Totals" sheetId="4" state="visible" r:id="rId4"/>
    <sheet name="Outside Money" sheetId="5" state="visible" r:id="rId5"/>
    <sheet name="Spending Detail" sheetId="6" state="visible" r:id="rId6"/>
    <sheet name="Donor Detail" sheetId="7" state="visible" r:id="rId7"/>
    <sheet name="Outside Detail" sheetId="8" state="visible" r:id="rId8"/>
    <sheet name="History" sheetId="9" state="visible" r:id="rId9"/>
    <sheet name="History Charts" sheetId="10" state="visible" r:id="rId10"/>
    <sheet name="Money vs Results" sheetId="11" state="visible" r:id="rId11"/>
    <sheet name="Notes &amp; Sources" sheetId="12" state="visible" r:id="rId12"/>
  </sheets>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7">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i val="1"/>
      <color rgb="00C00000"/>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F2F2F2"/>
      </patternFill>
    </fill>
    <fill>
      <patternFill patternType="solid">
        <fgColor rgb="00D9E2F3"/>
      </patternFill>
    </fill>
    <fill>
      <patternFill patternType="solid">
        <fgColor rgb="00EAF3E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6" fillId="0" borderId="0" applyAlignment="1" pivotButton="0" quotePrefix="0" xfId="0">
      <alignment horizontal="left"/>
    </xf>
    <xf numFmtId="0" fontId="10"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2" fillId="0" borderId="1" pivotButton="0" quotePrefix="0" xfId="0"/>
    <xf numFmtId="164" fontId="7" fillId="0" borderId="1" pivotButton="0" quotePrefix="0" xfId="0"/>
    <xf numFmtId="0" fontId="5" fillId="0" borderId="1" pivotButton="0" quotePrefix="0" xfId="0"/>
    <xf numFmtId="0" fontId="7" fillId="5" borderId="1" pivotButton="0" quotePrefix="0" xfId="0"/>
    <xf numFmtId="164" fontId="12" fillId="5" borderId="1" pivotButton="0" quotePrefix="0" xfId="0"/>
    <xf numFmtId="164" fontId="7" fillId="5" borderId="1" pivotButton="0" quotePrefix="0" xfId="0"/>
    <xf numFmtId="166" fontId="12" fillId="0" borderId="1" pivotButton="0" quotePrefix="0" xfId="0"/>
    <xf numFmtId="168" fontId="7" fillId="0" borderId="1" pivotButton="0" quotePrefix="0" xfId="0"/>
    <xf numFmtId="0" fontId="0" fillId="5" borderId="1" pivotButton="0" quotePrefix="0" xfId="0"/>
    <xf numFmtId="0" fontId="12" fillId="5" borderId="1" pivotButton="0" quotePrefix="0" xfId="0"/>
    <xf numFmtId="166" fontId="5" fillId="0" borderId="1" pivotButton="0" quotePrefix="0" xfId="0"/>
    <xf numFmtId="0" fontId="12" fillId="0" borderId="1" pivotButton="0" quotePrefix="0" xfId="0"/>
    <xf numFmtId="0" fontId="4" fillId="3" borderId="1" pivotButton="0" quotePrefix="0" xfId="0"/>
    <xf numFmtId="0" fontId="4" fillId="3" borderId="1" applyAlignment="1" pivotButton="0" quotePrefix="0" xfId="0">
      <alignment horizontal="center"/>
    </xf>
    <xf numFmtId="169" fontId="12" fillId="0" borderId="1" pivotButton="0" quotePrefix="0" xfId="0"/>
    <xf numFmtId="0" fontId="7" fillId="0" borderId="1" applyAlignment="1" pivotButton="0" quotePrefix="0" xfId="0">
      <alignment horizontal="center"/>
    </xf>
    <xf numFmtId="176" fontId="9"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10" fillId="0" borderId="0" applyAlignment="1" pivotButton="0" quotePrefix="0" xfId="0">
      <alignment vertical="top" wrapText="1"/>
    </xf>
    <xf numFmtId="0" fontId="9" fillId="0" borderId="0" pivotButton="0" quotePrefix="0" xfId="0"/>
    <xf numFmtId="0" fontId="4" fillId="0" borderId="0" pivotButton="0" quotePrefix="0" xfId="0"/>
    <xf numFmtId="164" fontId="12" fillId="0" borderId="0" pivotButton="0" quotePrefix="0" xfId="0"/>
    <xf numFmtId="0" fontId="12" fillId="0" borderId="0" pivotButton="0" quotePrefix="0" xfId="0"/>
    <xf numFmtId="166" fontId="7" fillId="5" borderId="1" pivotButton="0" quotePrefix="0" xfId="0"/>
    <xf numFmtId="0" fontId="11" fillId="0" borderId="0" pivotButton="0" quotePrefix="0" xfId="0"/>
    <xf numFmtId="165" fontId="11"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1" pivotButton="0" quotePrefix="0" xfId="0"/>
    <xf numFmtId="0" fontId="0" fillId="4" borderId="1" pivotButton="0" quotePrefix="0" xfId="0"/>
    <xf numFmtId="0" fontId="9"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5" borderId="1" pivotButton="0" quotePrefix="0" xfId="0"/>
    <xf numFmtId="167" fontId="6" fillId="0" borderId="1" pivotButton="0" quotePrefix="0" xfId="0"/>
    <xf numFmtId="167" fontId="7" fillId="5" borderId="1" pivotButton="0" quotePrefix="0" xfId="0"/>
    <xf numFmtId="0" fontId="6" fillId="0" borderId="1" pivotButton="0" quotePrefix="0" xfId="0"/>
    <xf numFmtId="0" fontId="0" fillId="0" borderId="1" pivotButton="0" quotePrefix="0" xfId="0"/>
    <xf numFmtId="164" fontId="6" fillId="5" borderId="1" pivotButton="0" quotePrefix="0" xfId="0"/>
    <xf numFmtId="167" fontId="5" fillId="0" borderId="1" pivotButton="0" quotePrefix="0" xfId="0"/>
    <xf numFmtId="0" fontId="6" fillId="6" borderId="1" pivotButton="0" quotePrefix="0" xfId="0"/>
    <xf numFmtId="0" fontId="6" fillId="6" borderId="1" applyAlignment="1" pivotButton="0" quotePrefix="0" xfId="0">
      <alignment vertical="top" wrapText="1"/>
    </xf>
    <xf numFmtId="0" fontId="13" fillId="6" borderId="1" applyAlignment="1" pivotButton="0" quotePrefix="0" xfId="0">
      <alignment horizontal="center"/>
    </xf>
    <xf numFmtId="0" fontId="5" fillId="6" borderId="1" pivotButton="0" quotePrefix="0" xfId="0"/>
    <xf numFmtId="164" fontId="6" fillId="6" borderId="1" pivotButton="0" quotePrefix="0" xfId="0"/>
    <xf numFmtId="164" fontId="5" fillId="6" borderId="1" pivotButton="0" quotePrefix="0" xfId="0"/>
    <xf numFmtId="167" fontId="6" fillId="6" borderId="1" pivotButton="0" quotePrefix="0" xfId="0"/>
    <xf numFmtId="169" fontId="5" fillId="6" borderId="1" pivotButton="0" quotePrefix="0" xfId="0"/>
    <xf numFmtId="0" fontId="7" fillId="6" borderId="1" applyAlignment="1" pivotButton="0" quotePrefix="0" xfId="0">
      <alignment horizontal="center"/>
    </xf>
    <xf numFmtId="165" fontId="5" fillId="6" borderId="1" pivotButton="0" quotePrefix="0" xfId="0"/>
    <xf numFmtId="0" fontId="6" fillId="0" borderId="1" applyAlignment="1" pivotButton="0" quotePrefix="0" xfId="0">
      <alignment vertical="top" wrapText="1"/>
    </xf>
    <xf numFmtId="0" fontId="14" fillId="0" borderId="1" applyAlignment="1" pivotButton="0" quotePrefix="0" xfId="0">
      <alignment horizontal="center"/>
    </xf>
    <xf numFmtId="169" fontId="5" fillId="0" borderId="1" pivotButton="0" quotePrefix="0" xfId="0"/>
    <xf numFmtId="0" fontId="15" fillId="0" borderId="1" applyAlignment="1" pivotButton="0" quotePrefix="0" xfId="0">
      <alignment horizontal="center"/>
    </xf>
    <xf numFmtId="165" fontId="5" fillId="0" borderId="1" pivotButton="0" quotePrefix="0" xfId="0"/>
    <xf numFmtId="0" fontId="13" fillId="0" borderId="1" applyAlignment="1" pivotButton="0" quotePrefix="0" xfId="0">
      <alignment horizontal="center"/>
    </xf>
    <xf numFmtId="0" fontId="14" fillId="6" borderId="1" applyAlignment="1" pivotButton="0" quotePrefix="0" xfId="0">
      <alignment horizontal="center"/>
    </xf>
    <xf numFmtId="167" fontId="6" fillId="4" borderId="1" pivotButton="0" quotePrefix="0" xfId="0"/>
    <xf numFmtId="169" fontId="5" fillId="4" borderId="1" pivotButton="0" quotePrefix="0" xfId="0"/>
    <xf numFmtId="170" fontId="11" fillId="0" borderId="0" applyAlignment="1" pivotButton="0" quotePrefix="0" xfId="0">
      <alignment horizontal="center"/>
    </xf>
    <xf numFmtId="169" fontId="12" fillId="0" borderId="0" pivotButton="0" quotePrefix="0" xfId="0"/>
    <xf numFmtId="169" fontId="5" fillId="0" borderId="0" pivotButton="0" quotePrefix="0" xfId="0"/>
    <xf numFmtId="165" fontId="12"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6"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'Charts'!$R$72:$R$80</f>
            </numRef>
          </cat>
          <val>
            <numRef>
              <f>'Charts'!$S$72:$S$80</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2026-09-17T21:20:04Z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Money'!D34</f>
        <v/>
      </c>
      <c r="C21" s="20" t="n"/>
      <c r="D21" s="21">
        <f>'Outside Money'!D42</f>
        <v/>
      </c>
    </row>
    <row r="22">
      <c r="A22" s="14" t="inlineStr">
        <is>
          <t>Ryan Mackenzie, supports</t>
        </is>
      </c>
      <c r="B22" s="12">
        <f>'Outside Money'!C38</f>
        <v/>
      </c>
      <c r="C22" s="22">
        <f>IFERROR(B22/$B$21,"")</f>
        <v/>
      </c>
      <c r="D22" s="23">
        <f>'Outside Money'!D38</f>
        <v/>
      </c>
    </row>
    <row r="23">
      <c r="A23" s="14" t="inlineStr">
        <is>
          <t>Ryan Mackenzie, opposes</t>
        </is>
      </c>
      <c r="B23" s="12">
        <f>'Outside Money'!C39</f>
        <v/>
      </c>
      <c r="C23" s="22">
        <f>IFERROR(B23/$B$21,"")</f>
        <v/>
      </c>
      <c r="D23" s="23">
        <f>'Outside Money'!D39</f>
        <v/>
      </c>
    </row>
    <row r="24">
      <c r="A24" s="14" t="inlineStr">
        <is>
          <t>Bob Brooks, supports</t>
        </is>
      </c>
      <c r="B24" s="12">
        <f>'Outside Money'!C40</f>
        <v/>
      </c>
      <c r="C24" s="22">
        <f>IFERROR(B24/$B$21,"")</f>
        <v/>
      </c>
      <c r="D24" s="23">
        <f>'Outside Money'!D40</f>
        <v/>
      </c>
    </row>
    <row r="25">
      <c r="A25" s="14" t="inlineStr">
        <is>
          <t>Bob Brooks, opposes</t>
        </is>
      </c>
      <c r="B25" s="12">
        <f>'Outside Money'!C41</f>
        <v/>
      </c>
      <c r="C25" s="22">
        <f>IFERROR(B25/$B$21,"")</f>
        <v/>
      </c>
      <c r="D25" s="23">
        <f>'Outside Money'!D41</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Y80"/>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3" t="inlineStr">
        <is>
          <t>CHART 1: receipts, spending and cash</t>
        </is>
      </c>
    </row>
    <row r="3">
      <c r="R3" s="34" t="inlineStr">
        <is>
          <t>Metric</t>
        </is>
      </c>
      <c r="S3" s="34" t="inlineStr">
        <is>
          <t>Bob Brooks (D)</t>
        </is>
      </c>
      <c r="T3" s="34" t="inlineStr">
        <is>
          <t>Ryan Mackenzie (R)</t>
        </is>
      </c>
    </row>
    <row r="4">
      <c r="R4" s="5" t="inlineStr">
        <is>
          <t>Receipts</t>
        </is>
      </c>
      <c r="S4" s="35">
        <f>'Money Sources'!B30</f>
        <v/>
      </c>
      <c r="T4" s="35">
        <f>'Money Sources'!C30</f>
        <v/>
      </c>
    </row>
    <row r="5">
      <c r="R5" s="5" t="inlineStr">
        <is>
          <t>Disbursements</t>
        </is>
      </c>
      <c r="S5" s="35">
        <f>'Money Sources'!B31</f>
        <v/>
      </c>
      <c r="T5" s="35">
        <f>'Money Sources'!C31</f>
        <v/>
      </c>
    </row>
    <row r="6">
      <c r="R6" s="5" t="inlineStr">
        <is>
          <t>Cash on hand</t>
        </is>
      </c>
      <c r="S6" s="35">
        <f>'Money Sources'!B32</f>
        <v/>
      </c>
      <c r="T6" s="35">
        <f>'Money Sources'!C32</f>
        <v/>
      </c>
    </row>
    <row r="8">
      <c r="R8" s="33" t="inlineStr">
        <is>
          <t>CHART 2: receipts by source</t>
        </is>
      </c>
    </row>
    <row r="9">
      <c r="R9" s="34" t="inlineStr">
        <is>
          <t>Candidate</t>
        </is>
      </c>
      <c r="S9" s="34" t="inlineStr">
        <is>
          <t>Individual, itemized (over $200)</t>
        </is>
      </c>
      <c r="T9" s="34" t="inlineStr">
        <is>
          <t>Individual, unitemized ($200 or less)</t>
        </is>
      </c>
      <c r="U9" s="34" t="inlineStr">
        <is>
          <t>PAC contributions</t>
        </is>
      </c>
      <c r="V9" s="34" t="inlineStr">
        <is>
          <t>Party committee</t>
        </is>
      </c>
      <c r="W9" s="34" t="inlineStr">
        <is>
          <t>Transfers from another authorized committee</t>
        </is>
      </c>
      <c r="X9" s="34" t="inlineStr">
        <is>
          <t>Candidate self-funding</t>
        </is>
      </c>
      <c r="Y9" s="34" t="inlineStr">
        <is>
          <t>Other / unclassified</t>
        </is>
      </c>
    </row>
    <row r="10">
      <c r="R10" s="5" t="inlineStr">
        <is>
          <t>Bob Brooks (D)</t>
        </is>
      </c>
      <c r="S10" s="35">
        <f>'Money Sources'!B6</f>
        <v/>
      </c>
      <c r="T10" s="35">
        <f>'Money Sources'!B7</f>
        <v/>
      </c>
      <c r="U10" s="35">
        <f>'Money Sources'!B8</f>
        <v/>
      </c>
      <c r="V10" s="35">
        <f>'Money Sources'!B9</f>
        <v/>
      </c>
      <c r="W10" s="35">
        <f>'Money Sources'!B10</f>
        <v/>
      </c>
      <c r="X10" s="35">
        <f>'Money Sources'!B11</f>
        <v/>
      </c>
      <c r="Y10" s="35">
        <f>'Money Sources'!B12</f>
        <v/>
      </c>
    </row>
    <row r="11">
      <c r="R11" s="5" t="inlineStr">
        <is>
          <t>Ryan Mackenzie (R)</t>
        </is>
      </c>
      <c r="S11" s="35">
        <f>'Money Sources'!C6</f>
        <v/>
      </c>
      <c r="T11" s="35">
        <f>'Money Sources'!C7</f>
        <v/>
      </c>
      <c r="U11" s="35">
        <f>'Money Sources'!C8</f>
        <v/>
      </c>
      <c r="V11" s="35">
        <f>'Money Sources'!C9</f>
        <v/>
      </c>
      <c r="W11" s="35">
        <f>'Money Sources'!C10</f>
        <v/>
      </c>
      <c r="X11" s="35">
        <f>'Money Sources'!C11</f>
        <v/>
      </c>
      <c r="Y11" s="35">
        <f>'Money Sources'!C12</f>
        <v/>
      </c>
    </row>
    <row r="13">
      <c r="R13" s="33" t="inlineStr">
        <is>
          <t>CHART 3: headline receipts against receipts excluding transfers</t>
        </is>
      </c>
    </row>
    <row r="14">
      <c r="R14" s="34" t="inlineStr">
        <is>
          <t>Measure</t>
        </is>
      </c>
      <c r="S14" s="34" t="inlineStr">
        <is>
          <t>Bob Brooks (D)</t>
        </is>
      </c>
      <c r="T14" s="34" t="inlineStr">
        <is>
          <t>Ryan Mackenzie (R)</t>
        </is>
      </c>
    </row>
    <row r="15">
      <c r="R15" s="5" t="inlineStr">
        <is>
          <t>Receipts as reported</t>
        </is>
      </c>
      <c r="S15" s="35">
        <f>'Money Sources'!B18</f>
        <v/>
      </c>
      <c r="T15" s="35">
        <f>'Money Sources'!C18</f>
        <v/>
      </c>
    </row>
    <row r="16">
      <c r="R16" s="5" t="inlineStr">
        <is>
          <t>Excluding committee transfers</t>
        </is>
      </c>
      <c r="S16" s="35">
        <f>'Money Sources'!B20</f>
        <v/>
      </c>
      <c r="T16" s="35">
        <f>'Money Sources'!C20</f>
        <v/>
      </c>
    </row>
    <row r="18">
      <c r="R18" s="33" t="inlineStr">
        <is>
          <t>CHART 4: ten largest outside spenders</t>
        </is>
      </c>
    </row>
    <row r="19">
      <c r="R19" s="34" t="inlineStr">
        <is>
          <t>Committee</t>
        </is>
      </c>
      <c r="S19" s="34" t="inlineStr">
        <is>
          <t>Independent expenditure</t>
        </is>
      </c>
    </row>
    <row r="20">
      <c r="R20" s="5" t="inlineStr">
        <is>
          <t>Stronger Together PA (supports Brooks)</t>
        </is>
      </c>
      <c r="S20" s="35">
        <f>'Outside Money'!D6</f>
        <v/>
      </c>
    </row>
    <row r="21">
      <c r="R21" s="5" t="inlineStr">
        <is>
          <t>Lead Left PAC (opposes Brooks)</t>
        </is>
      </c>
      <c r="S21" s="35">
        <f>'Outside Money'!D7</f>
        <v/>
      </c>
    </row>
    <row r="22">
      <c r="R22" s="5" t="inlineStr">
        <is>
          <t>Jobs and Democracy PAC (supports Brooks)</t>
        </is>
      </c>
      <c r="S22" s="35">
        <f>'Outside Money'!D8</f>
        <v/>
      </c>
    </row>
    <row r="23">
      <c r="R23" s="5" t="inlineStr">
        <is>
          <t>Congressional Progressive Caucus PAC (supports Brooks)</t>
        </is>
      </c>
      <c r="S23" s="35">
        <f>'Outside Money'!D9</f>
        <v/>
      </c>
    </row>
    <row r="24">
      <c r="R24" s="5" t="inlineStr">
        <is>
          <t>Medicare for All (supports Brooks)</t>
        </is>
      </c>
      <c r="S24" s="35">
        <f>'Outside Money'!D10</f>
        <v/>
      </c>
    </row>
    <row r="25">
      <c r="R25" s="5" t="inlineStr">
        <is>
          <t>DLP PAC (supports Brooks)</t>
        </is>
      </c>
      <c r="S25" s="35">
        <f>'Outside Money'!D11</f>
        <v/>
      </c>
    </row>
    <row r="26">
      <c r="R26" s="5" t="inlineStr">
        <is>
          <t>Make the Road Action Political Committee (supports Brooks)</t>
        </is>
      </c>
      <c r="S26" s="35">
        <f>'Outside Money'!D12</f>
        <v/>
      </c>
    </row>
    <row r="27">
      <c r="R27" s="5" t="inlineStr">
        <is>
          <t>Blue Majority Project (supports Brooks)</t>
        </is>
      </c>
      <c r="S27" s="35">
        <f>'Outside Money'!D13</f>
        <v/>
      </c>
    </row>
    <row r="28">
      <c r="R28" s="5" t="inlineStr">
        <is>
          <t>Blue Battleground Project (supports Brooks)</t>
        </is>
      </c>
      <c r="S28" s="35">
        <f>'Outside Money'!D14</f>
        <v/>
      </c>
    </row>
    <row r="29">
      <c r="R29" s="5" t="inlineStr">
        <is>
          <t>Kitchen Table Values PAC (opposes Brooks)</t>
        </is>
      </c>
      <c r="S29" s="35">
        <f>'Outside Money'!D15</f>
        <v/>
      </c>
    </row>
    <row r="31">
      <c r="R31" s="33" t="inlineStr">
        <is>
          <t>CHART 5: outside spending by target and stance</t>
        </is>
      </c>
    </row>
    <row r="32">
      <c r="R32" s="34" t="inlineStr">
        <is>
          <t>Target and stance</t>
        </is>
      </c>
      <c r="S32" s="34" t="inlineStr">
        <is>
          <t>Amount</t>
        </is>
      </c>
    </row>
    <row r="33">
      <c r="R33" s="5" t="inlineStr">
        <is>
          <t>Mackenzie, supports</t>
        </is>
      </c>
      <c r="S33" s="35">
        <f>'Outside Money'!C38</f>
        <v/>
      </c>
    </row>
    <row r="34">
      <c r="R34" s="5" t="inlineStr">
        <is>
          <t>Mackenzie, opposes</t>
        </is>
      </c>
      <c r="S34" s="35">
        <f>'Outside Money'!C39</f>
        <v/>
      </c>
    </row>
    <row r="35">
      <c r="R35" s="5" t="inlineStr">
        <is>
          <t>Brooks, supports</t>
        </is>
      </c>
      <c r="S35" s="35">
        <f>'Outside Money'!C40</f>
        <v/>
      </c>
    </row>
    <row r="36">
      <c r="R36" s="5" t="inlineStr">
        <is>
          <t>Brooks, opposes</t>
        </is>
      </c>
      <c r="S36" s="35">
        <f>'Outside Money'!C41</f>
        <v/>
      </c>
    </row>
    <row r="38">
      <c r="R38" s="33" t="inlineStr">
        <is>
          <t>CHART 6: concentration of outside spending</t>
        </is>
      </c>
    </row>
    <row r="39">
      <c r="R39" s="34" t="inlineStr">
        <is>
          <t>Committee</t>
        </is>
      </c>
      <c r="S39" s="34" t="inlineStr">
        <is>
          <t>Outside spending</t>
        </is>
      </c>
    </row>
    <row r="40">
      <c r="R40" s="5" t="inlineStr">
        <is>
          <t>Stronger Together PA</t>
        </is>
      </c>
      <c r="S40" s="35">
        <f>'Outside Money'!D6</f>
        <v/>
      </c>
    </row>
    <row r="41">
      <c r="R41" s="5" t="inlineStr">
        <is>
          <t>Lead Left PAC</t>
        </is>
      </c>
      <c r="S41" s="35">
        <f>'Outside Money'!D7</f>
        <v/>
      </c>
    </row>
    <row r="42">
      <c r="R42" s="5" t="inlineStr">
        <is>
          <t>Jobs and Democracy PAC</t>
        </is>
      </c>
      <c r="S42" s="35">
        <f>'Outside Money'!D8</f>
        <v/>
      </c>
    </row>
    <row r="43">
      <c r="R43" s="5" t="inlineStr">
        <is>
          <t>Congressional Progressive Caucus PAC</t>
        </is>
      </c>
      <c r="S43" s="35">
        <f>'Outside Money'!D9</f>
        <v/>
      </c>
    </row>
    <row r="44">
      <c r="R44" s="5" t="inlineStr">
        <is>
          <t>Medicare for All</t>
        </is>
      </c>
      <c r="S44" s="35">
        <f>'Outside Money'!D10</f>
        <v/>
      </c>
    </row>
    <row r="45">
      <c r="R45" s="5" t="inlineStr">
        <is>
          <t>DLP PAC</t>
        </is>
      </c>
      <c r="S45" s="35">
        <f>'Outside Money'!D11</f>
        <v/>
      </c>
    </row>
    <row r="46">
      <c r="R46" s="5" t="inlineStr">
        <is>
          <t>All other (22 committees)</t>
        </is>
      </c>
      <c r="S46" s="35">
        <f>'Outside Money'!D34-SUM('Outside Money'!D6:D11)</f>
        <v/>
      </c>
    </row>
    <row r="48">
      <c r="R48" s="33" t="inlineStr">
        <is>
          <t>CHART 7: spending by category</t>
        </is>
      </c>
    </row>
    <row r="49">
      <c r="R49" s="34" t="inlineStr">
        <is>
          <t>Category</t>
        </is>
      </c>
      <c r="S49" s="34" t="inlineStr">
        <is>
          <t>Bob Brooks (D)</t>
        </is>
      </c>
      <c r="T49" s="34" t="inlineStr">
        <is>
          <t>Ryan Mackenzie (R)</t>
        </is>
      </c>
    </row>
    <row r="50">
      <c r="R50" s="36">
        <f>'Spending Detail'!A6</f>
        <v/>
      </c>
      <c r="S50" s="35">
        <f>'Spending Detail'!B6</f>
        <v/>
      </c>
      <c r="T50" s="35">
        <f>'Spending Detail'!E6</f>
        <v/>
      </c>
    </row>
    <row r="51">
      <c r="R51" s="36">
        <f>'Spending Detail'!A7</f>
        <v/>
      </c>
      <c r="S51" s="35">
        <f>'Spending Detail'!B7</f>
        <v/>
      </c>
      <c r="T51" s="35">
        <f>'Spending Detail'!E7</f>
        <v/>
      </c>
    </row>
    <row r="52">
      <c r="R52" s="36">
        <f>'Spending Detail'!A8</f>
        <v/>
      </c>
      <c r="S52" s="35">
        <f>'Spending Detail'!B8</f>
        <v/>
      </c>
      <c r="T52" s="35">
        <f>'Spending Detail'!E8</f>
        <v/>
      </c>
    </row>
    <row r="53">
      <c r="R53" s="36">
        <f>'Spending Detail'!A9</f>
        <v/>
      </c>
      <c r="S53" s="35">
        <f>'Spending Detail'!B9</f>
        <v/>
      </c>
      <c r="T53" s="35">
        <f>'Spending Detail'!E9</f>
        <v/>
      </c>
    </row>
    <row r="54">
      <c r="R54" s="36">
        <f>'Spending Detail'!A10</f>
        <v/>
      </c>
      <c r="S54" s="35">
        <f>'Spending Detail'!B10</f>
        <v/>
      </c>
      <c r="T54" s="35">
        <f>'Spending Detail'!E10</f>
        <v/>
      </c>
    </row>
    <row r="55">
      <c r="R55" s="36">
        <f>'Spending Detail'!A11</f>
        <v/>
      </c>
      <c r="S55" s="35">
        <f>'Spending Detail'!B11</f>
        <v/>
      </c>
      <c r="T55" s="35">
        <f>'Spending Detail'!E11</f>
        <v/>
      </c>
    </row>
    <row r="56">
      <c r="R56" s="36">
        <f>'Spending Detail'!A12</f>
        <v/>
      </c>
      <c r="S56" s="35">
        <f>'Spending Detail'!B12</f>
        <v/>
      </c>
      <c r="T56" s="35">
        <f>'Spending Detail'!E12</f>
        <v/>
      </c>
    </row>
    <row r="57">
      <c r="R57" s="36">
        <f>'Spending Detail'!A13</f>
        <v/>
      </c>
      <c r="S57" s="35">
        <f>'Spending Detail'!B13</f>
        <v/>
      </c>
      <c r="T57" s="35">
        <f>'Spending Detail'!E13</f>
        <v/>
      </c>
    </row>
    <row r="59">
      <c r="R59" s="33" t="inlineStr">
        <is>
          <t>CHART 8: contributions by state</t>
        </is>
      </c>
    </row>
    <row r="60">
      <c r="R60" s="34" t="inlineStr">
        <is>
          <t>State</t>
        </is>
      </c>
      <c r="S60" s="34" t="inlineStr">
        <is>
          <t>Bob Brooks (D)</t>
        </is>
      </c>
      <c r="T60" s="34" t="inlineStr">
        <is>
          <t>Ryan Mackenzie (R)</t>
        </is>
      </c>
    </row>
    <row r="61">
      <c r="R61" s="36">
        <f>'Donor Detail'!A6</f>
        <v/>
      </c>
      <c r="S61" s="35">
        <f>'Donor Detail'!B6</f>
        <v/>
      </c>
      <c r="T61" s="35">
        <f>'Donor Detail'!E6</f>
        <v/>
      </c>
    </row>
    <row r="62">
      <c r="R62" s="36">
        <f>'Donor Detail'!A7</f>
        <v/>
      </c>
      <c r="S62" s="35">
        <f>'Donor Detail'!B7</f>
        <v/>
      </c>
      <c r="T62" s="35">
        <f>'Donor Detail'!E7</f>
        <v/>
      </c>
    </row>
    <row r="63">
      <c r="R63" s="36">
        <f>'Donor Detail'!A8</f>
        <v/>
      </c>
      <c r="S63" s="35">
        <f>'Donor Detail'!B8</f>
        <v/>
      </c>
      <c r="T63" s="35">
        <f>'Donor Detail'!E8</f>
        <v/>
      </c>
    </row>
    <row r="64">
      <c r="R64" s="36">
        <f>'Donor Detail'!A9</f>
        <v/>
      </c>
      <c r="S64" s="35">
        <f>'Donor Detail'!B9</f>
        <v/>
      </c>
      <c r="T64" s="35">
        <f>'Donor Detail'!E9</f>
        <v/>
      </c>
    </row>
    <row r="65">
      <c r="R65" s="36">
        <f>'Donor Detail'!A10</f>
        <v/>
      </c>
      <c r="S65" s="35">
        <f>'Donor Detail'!B10</f>
        <v/>
      </c>
      <c r="T65" s="35">
        <f>'Donor Detail'!E10</f>
        <v/>
      </c>
    </row>
    <row r="66">
      <c r="R66" s="36">
        <f>'Donor Detail'!A11</f>
        <v/>
      </c>
      <c r="S66" s="35">
        <f>'Donor Detail'!B11</f>
        <v/>
      </c>
      <c r="T66" s="35">
        <f>'Donor Detail'!E11</f>
        <v/>
      </c>
    </row>
    <row r="67">
      <c r="R67" s="36">
        <f>'Donor Detail'!A12</f>
        <v/>
      </c>
      <c r="S67" s="35">
        <f>'Donor Detail'!B12</f>
        <v/>
      </c>
      <c r="T67" s="35">
        <f>'Donor Detail'!E12</f>
        <v/>
      </c>
    </row>
    <row r="68">
      <c r="R68" s="36">
        <f>'Donor Detail'!A13</f>
        <v/>
      </c>
      <c r="S68" s="35">
        <f>'Donor Detail'!B13</f>
        <v/>
      </c>
      <c r="T68" s="35">
        <f>'Donor Detail'!E13</f>
        <v/>
      </c>
    </row>
    <row r="70">
      <c r="R70" s="33" t="inlineStr">
        <is>
          <t>CHART 9: what outside groups bought</t>
        </is>
      </c>
    </row>
    <row r="71">
      <c r="R71" s="34" t="inlineStr">
        <is>
          <t>Category</t>
        </is>
      </c>
      <c r="S71" s="34" t="inlineStr">
        <is>
          <t>Outside spending</t>
        </is>
      </c>
    </row>
    <row r="72">
      <c r="R72" s="36">
        <f>'Outside Detail'!A6</f>
        <v/>
      </c>
      <c r="S72" s="35">
        <f>'Outside Detail'!B6</f>
        <v/>
      </c>
    </row>
    <row r="73">
      <c r="R73" s="36">
        <f>'Outside Detail'!A7</f>
        <v/>
      </c>
      <c r="S73" s="35">
        <f>'Outside Detail'!B7</f>
        <v/>
      </c>
    </row>
    <row r="74">
      <c r="R74" s="36">
        <f>'Outside Detail'!A8</f>
        <v/>
      </c>
      <c r="S74" s="35">
        <f>'Outside Detail'!B8</f>
        <v/>
      </c>
    </row>
    <row r="75">
      <c r="R75" s="36">
        <f>'Outside Detail'!A9</f>
        <v/>
      </c>
      <c r="S75" s="35">
        <f>'Outside Detail'!B9</f>
        <v/>
      </c>
    </row>
    <row r="76">
      <c r="R76" s="36">
        <f>'Outside Detail'!A10</f>
        <v/>
      </c>
      <c r="S76" s="35">
        <f>'Outside Detail'!B10</f>
        <v/>
      </c>
    </row>
    <row r="77">
      <c r="R77" s="36">
        <f>'Outside Detail'!A11</f>
        <v/>
      </c>
      <c r="S77" s="35">
        <f>'Outside Detail'!B11</f>
        <v/>
      </c>
    </row>
    <row r="78">
      <c r="R78" s="36">
        <f>'Outside Detail'!A12</f>
        <v/>
      </c>
      <c r="S78" s="35">
        <f>'Outside Detail'!B12</f>
        <v/>
      </c>
    </row>
    <row r="79">
      <c r="R79" s="36">
        <f>'Outside Detail'!A13</f>
        <v/>
      </c>
      <c r="S79" s="35">
        <f>'Outside Detail'!B13</f>
        <v/>
      </c>
    </row>
    <row r="80">
      <c r="R80" s="36">
        <f>'Outside Detail'!A14</f>
        <v/>
      </c>
      <c r="S80" s="35">
        <f>'Outside Detail'!B14</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Totals'!$K$6:$K$15,MATCH("Bob Brooks",'Candidate Totals'!$A$6:$A$15,0))=0,"",INDEX('Candidate Totals'!$K$6:$K$15,MATCH("Bob Brooks",'Candidate Totals'!$A$6:$A$15,0))-INDEX('Candidate Totals'!$L$6:$L$15,MATCH("Bob Brooks",'Candidate Totals'!$A$6:$A$15,0))),"")</f>
        <v/>
      </c>
      <c r="C6" s="12">
        <f>IFERROR(IF(INDEX('Candidate Totals'!$K$6:$K$15,MATCH("Ryan Mackenzie",'Candidate Totals'!$A$6:$A$15,0))=0,"",INDEX('Candidate Totals'!$K$6:$K$15,MATCH("Ryan Mackenzie",'Candidate Totals'!$A$6:$A$15,0))-INDEX('Candidate Totals'!$L$6:$L$15,MATCH("Ryan Mackenzie",'Candidate Totals'!$A$6:$A$15,0))),"")</f>
        <v/>
      </c>
      <c r="D6" s="22">
        <f>IF(AND(ISNUMBER(B6),ISNUMBER(B13)),B6/B13,"")</f>
        <v/>
      </c>
      <c r="E6" s="22">
        <f>IF(AND(ISNUMBER(C6),ISNUMBER(C13)),C6/C13,"")</f>
        <v/>
      </c>
    </row>
    <row r="7">
      <c r="A7" s="14" t="inlineStr">
        <is>
          <t>Individual, unitemized ($200 or less)</t>
        </is>
      </c>
      <c r="B7" s="12">
        <f>IFERROR(IF(INDEX('Candidate Totals'!$L$6:$L$15,MATCH("Bob Brooks",'Candidate Totals'!$A$6:$A$15,0))=0,"",INDEX('Candidate Totals'!$L$6:$L$15,MATCH("Bob Brooks",'Candidate Totals'!$A$6:$A$15,0))),"")</f>
        <v/>
      </c>
      <c r="C7" s="12">
        <f>IFERROR(IF(INDEX('Candidate Totals'!$L$6:$L$15,MATCH("Ryan Mackenzie",'Candidate Totals'!$A$6:$A$15,0))=0,"",INDEX('Candidate Totals'!$L$6:$L$15,MATCH("Ryan Mackenzie",'Candidate Totals'!$A$6:$A$15,0))),"")</f>
        <v/>
      </c>
      <c r="D7" s="22">
        <f>IF(AND(ISNUMBER(B7),ISNUMBER(B13)),B7/B13,"")</f>
        <v/>
      </c>
      <c r="E7" s="22">
        <f>IF(AND(ISNUMBER(C7),ISNUMBER(C13)),C7/C13,"")</f>
        <v/>
      </c>
    </row>
    <row r="8">
      <c r="A8" s="14" t="inlineStr">
        <is>
          <t>PAC contributions</t>
        </is>
      </c>
      <c r="B8" s="12">
        <f>IFERROR(IF(INDEX('Candidate Totals'!$M$6:$M$15,MATCH("Bob Brooks",'Candidate Totals'!$A$6:$A$15,0))=0,"",INDEX('Candidate Totals'!$M$6:$M$15,MATCH("Bob Brooks",'Candidate Totals'!$A$6:$A$15,0))),"")</f>
        <v/>
      </c>
      <c r="C8" s="12">
        <f>IFERROR(IF(INDEX('Candidate Totals'!$M$6:$M$15,MATCH("Ryan Mackenzie",'Candidate Totals'!$A$6:$A$15,0))=0,"",INDEX('Candidate Totals'!$M$6:$M$15,MATCH("Ryan Mackenzie",'Candidate Totals'!$A$6:$A$15,0))),"")</f>
        <v/>
      </c>
      <c r="D8" s="22">
        <f>IF(AND(ISNUMBER(B8),ISNUMBER(B13)),B8/B13,"")</f>
        <v/>
      </c>
      <c r="E8" s="22">
        <f>IF(AND(ISNUMBER(C8),ISNUMBER(C13)),C8/C13,"")</f>
        <v/>
      </c>
    </row>
    <row r="9">
      <c r="A9" s="14" t="inlineStr">
        <is>
          <t>Party committee</t>
        </is>
      </c>
      <c r="B9" s="12">
        <f>IFERROR(IF(INDEX('Candidate Totals'!$N$6:$N$15,MATCH("Bob Brooks",'Candidate Totals'!$A$6:$A$15,0))=0,"",INDEX('Candidate Totals'!$N$6:$N$15,MATCH("Bob Brooks",'Candidate Totals'!$A$6:$A$15,0))),"")</f>
        <v/>
      </c>
      <c r="C9" s="12">
        <f>IFERROR(IF(INDEX('Candidate Totals'!$N$6:$N$15,MATCH("Ryan Mackenzie",'Candidate Totals'!$A$6:$A$15,0))=0,"",INDEX('Candidate Totals'!$N$6:$N$15,MATCH("Ryan Mackenzie",'Candidate Totals'!$A$6:$A$15,0))),"")</f>
        <v/>
      </c>
      <c r="D9" s="22">
        <f>IF(AND(ISNUMBER(B9),ISNUMBER(B13)),B9/B13,"")</f>
        <v/>
      </c>
      <c r="E9" s="22">
        <f>IF(AND(ISNUMBER(C9),ISNUMBER(C13)),C9/C13,"")</f>
        <v/>
      </c>
    </row>
    <row r="10">
      <c r="A10" s="14" t="inlineStr">
        <is>
          <t>Transfers from another authorized committee</t>
        </is>
      </c>
      <c r="B10" s="12">
        <f>IFERROR(IF(INDEX('Candidate Totals'!$O$6:$O$15,MATCH("Bob Brooks",'Candidate Totals'!$A$6:$A$15,0))=0,"",INDEX('Candidate Totals'!$O$6:$O$15,MATCH("Bob Brooks",'Candidate Totals'!$A$6:$A$15,0))),"")</f>
        <v/>
      </c>
      <c r="C10" s="12">
        <f>IFERROR(IF(INDEX('Candidate Totals'!$O$6:$O$15,MATCH("Ryan Mackenzie",'Candidate Totals'!$A$6:$A$15,0))=0,"",INDEX('Candidate Totals'!$O$6:$O$15,MATCH("Ryan Mackenzie",'Candidate Totals'!$A$6:$A$15,0))),"")</f>
        <v/>
      </c>
      <c r="D10" s="22">
        <f>IF(AND(ISNUMBER(B10),ISNUMBER(B13)),B10/B13,"")</f>
        <v/>
      </c>
      <c r="E10" s="22">
        <f>IF(AND(ISNUMBER(C10),ISNUMBER(C13)),C10/C13,"")</f>
        <v/>
      </c>
    </row>
    <row r="11">
      <c r="A11" s="14" t="inlineStr">
        <is>
          <t>Candidate self-funding</t>
        </is>
      </c>
      <c r="B11" s="12">
        <f>IFERROR(INDEX('Candidate Totals'!$P$6:$P$15,MATCH("Bob Brooks",'Candidate Totals'!$A$6:$A$15,0)),"")</f>
        <v/>
      </c>
      <c r="C11" s="12">
        <f>IFERROR(INDEX('Candidate Totals'!$P$6:$P$15,MATCH("Ryan Mackenzie",'Candidate Totals'!$A$6:$A$15,0)),"")</f>
        <v/>
      </c>
      <c r="D11" s="22">
        <f>IF(AND(ISNUMBER(B11),ISNUMBER(B13)),B11/B13,"")</f>
        <v/>
      </c>
      <c r="E11" s="22">
        <f>IF(AND(ISNUMBER(C11),ISNUMBER(C13)),C11/C13,"")</f>
        <v/>
      </c>
    </row>
    <row r="12">
      <c r="A12" s="14" t="inlineStr">
        <is>
          <t>Other / unclassified</t>
        </is>
      </c>
      <c r="B12" s="12">
        <f>IFERROR(IF(INDEX('Candidate Totals'!$Q$6:$Q$15,MATCH("Bob Brooks",'Candidate Totals'!$A$6:$A$15,0))=0,"",INDEX('Candidate Totals'!$Q$6:$Q$15,MATCH("Bob Brooks",'Candidate Totals'!$A$6:$A$15,0))),"")</f>
        <v/>
      </c>
      <c r="C12" s="12">
        <f>IFERROR(IF(INDEX('Candidate Totals'!$Q$6:$Q$15,MATCH("Ryan Mackenzie",'Candidate Totals'!$A$6:$A$15,0))=0,"",INDEX('Candidate Totals'!$Q$6:$Q$15,MATCH("Ryan Mackenzie",'Candidate Totals'!$A$6:$A$15,0))),"")</f>
        <v/>
      </c>
      <c r="D12" s="22">
        <f>IF(AND(ISNUMBER(B12),ISNUMBER(B13)),B12/B13,"")</f>
        <v/>
      </c>
      <c r="E12" s="22">
        <f>IF(AND(ISNUMBER(C12),ISNUMBER(C13)),C12/C13,"")</f>
        <v/>
      </c>
    </row>
    <row r="13">
      <c r="A13" s="15" t="inlineStr">
        <is>
          <t>TOTAL RECEIPTS</t>
        </is>
      </c>
      <c r="B13" s="17">
        <f>SUM(B6:B12)</f>
        <v/>
      </c>
      <c r="C13" s="17">
        <f>SUM(C6:C12)</f>
        <v/>
      </c>
      <c r="D13" s="37">
        <f>IFERROR(SUM(D6:D12),"")</f>
        <v/>
      </c>
      <c r="E13" s="37">
        <f>IFERROR(SUM(E6:E12),"")</f>
        <v/>
      </c>
    </row>
    <row r="14">
      <c r="A14" s="38" t="inlineStr">
        <is>
          <t>Check: components minus reported receipts (must be $0)</t>
        </is>
      </c>
      <c r="B14" s="39">
        <f>IFERROR(B13-INDEX('Candidate Totals'!$G$6:$G$15,MATCH("Bob Brooks",'Candidate Totals'!$A$6:$A$15,0)),"")</f>
        <v/>
      </c>
      <c r="C14" s="39">
        <f>IFERROR(C13-INDEX('Candidate Totals'!$G$6:$G$15,MATCH("Ryan Mackenzie",'Candidate Totals'!$A$6:$A$15,0)),"")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Totals'!$G$6:$G$15,MATCH("Bob Brooks",'Candidate Totals'!$A$6:$A$15,0))=0,"",INDEX('Candidate Totals'!$G$6:$G$15,MATCH("Bob Brooks",'Candidate Totals'!$A$6:$A$15,0))),"")</f>
        <v/>
      </c>
      <c r="C18" s="12">
        <f>IFERROR(IF(INDEX('Candidate Totals'!$G$6:$G$15,MATCH("Ryan Mackenzie",'Candidate Totals'!$A$6:$A$15,0))=0,"",INDEX('Candidate Totals'!$G$6:$G$15,MATCH("Ryan Mackenzie",'Candidate Totals'!$A$6:$A$15,0))),"")</f>
        <v/>
      </c>
      <c r="D18" s="40">
        <f>IF(AND(ISNUMBER(C18),ISNUMBER(B18)),C18-B18,"")</f>
        <v/>
      </c>
    </row>
    <row r="19">
      <c r="A19" s="14" t="inlineStr">
        <is>
          <t>less: transfers from another authorized committee</t>
        </is>
      </c>
      <c r="B19" s="12">
        <f>IFERROR(IF(INDEX('Candidate Totals'!$O$6:$O$15,MATCH("Bob Brooks",'Candidate Totals'!$A$6:$A$15,0))=0,"",INDEX('Candidate Totals'!$O$6:$O$15,MATCH("Bob Brooks",'Candidate Totals'!$A$6:$A$15,0))),"")</f>
        <v/>
      </c>
      <c r="C19" s="12">
        <f>IFERROR(IF(INDEX('Candidate Totals'!$O$6:$O$15,MATCH("Ryan Mackenzie",'Candidate Totals'!$A$6:$A$15,0))=0,"",INDEX('Candidate Totals'!$O$6:$O$15,MATCH("Ryan Mackenzie",'Candidate Totals'!$A$6:$A$15,0))),"")</f>
        <v/>
      </c>
      <c r="D19" s="40">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Totals'!$L$6:$L$15,MATCH("Bob Brooks",'Candidate Totals'!$A$6:$A$15,0))=0,"",INDEX('Candidate Totals'!$L$6:$L$15,MATCH("Bob Brooks",'Candidate Totals'!$A$6:$A$15,0))),"")</f>
        <v/>
      </c>
      <c r="C24" s="12">
        <f>IFERROR(IF(INDEX('Candidate Totals'!$L$6:$L$15,MATCH("Ryan Mackenzie",'Candidate Totals'!$A$6:$A$15,0))=0,"",INDEX('Candidate Totals'!$L$6:$L$15,MATCH("Ryan Mackenzie",'Candidate Totals'!$A$6:$A$15,0))),"")</f>
        <v/>
      </c>
    </row>
    <row r="25">
      <c r="A25" s="14" t="inlineStr">
        <is>
          <t>as a share of total receipts</t>
        </is>
      </c>
      <c r="B25" s="22">
        <f>IFERROR(B24/(INDEX('Candidate Totals'!$G$6:$G$15,MATCH("Bob Brooks",'Candidate Totals'!$A$6:$A$15,0))),"")</f>
        <v/>
      </c>
      <c r="C25" s="22">
        <f>IFERROR(C24/(INDEX('Candidate Totals'!$G$6:$G$15,MATCH("Ryan Mackenzie",'Candidate Totals'!$A$6:$A$15,0))),"")</f>
        <v/>
      </c>
    </row>
    <row r="26">
      <c r="A26" s="14" t="inlineStr">
        <is>
          <t>as a share of individual contributions</t>
        </is>
      </c>
      <c r="B26" s="22">
        <f>IFERROR(B24/(INDEX('Candidate Totals'!$K$6:$K$15,MATCH("Bob Brooks",'Candidate Totals'!$A$6:$A$15,0))),"")</f>
        <v/>
      </c>
      <c r="C26" s="22">
        <f>IFERROR(C24/(INDEX('Candidate Totals'!$K$6:$K$15,MATCH("Ryan Mackenzie",'Candidate Totals'!$A$6:$A$15,0))),"")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Totals'!$G$6:$G$15,MATCH("Bob Brooks",'Candidate Totals'!$A$6:$A$15,0))=0,"",INDEX('Candidate Totals'!$G$6:$G$15,MATCH("Bob Brooks",'Candidate Totals'!$A$6:$A$15,0))),"")</f>
        <v/>
      </c>
      <c r="C30" s="12">
        <f>IFERROR(IF(INDEX('Candidate Totals'!$G$6:$G$15,MATCH("Ryan Mackenzie",'Candidate Totals'!$A$6:$A$15,0))=0,"",INDEX('Candidate Totals'!$G$6:$G$15,MATCH("Ryan Mackenzie",'Candidate Totals'!$A$6:$A$15,0))),"")</f>
        <v/>
      </c>
      <c r="D30" s="40">
        <f>IF(AND(ISNUMBER(C30),ISNUMBER(B30)),C30-B30,"")</f>
        <v/>
      </c>
    </row>
    <row r="31">
      <c r="A31" s="14" t="inlineStr">
        <is>
          <t>Disbursements</t>
        </is>
      </c>
      <c r="B31" s="12">
        <f>IFERROR(IF(INDEX('Candidate Totals'!$H$6:$H$15,MATCH("Bob Brooks",'Candidate Totals'!$A$6:$A$15,0))=0,"",INDEX('Candidate Totals'!$H$6:$H$15,MATCH("Bob Brooks",'Candidate Totals'!$A$6:$A$15,0))),"")</f>
        <v/>
      </c>
      <c r="C31" s="12">
        <f>IFERROR(IF(INDEX('Candidate Totals'!$H$6:$H$15,MATCH("Ryan Mackenzie",'Candidate Totals'!$A$6:$A$15,0))=0,"",INDEX('Candidate Totals'!$H$6:$H$15,MATCH("Ryan Mackenzie",'Candidate Totals'!$A$6:$A$15,0))),"")</f>
        <v/>
      </c>
      <c r="D31" s="40">
        <f>IF(AND(ISNUMBER(C31),ISNUMBER(B31)),C31-B31,"")</f>
        <v/>
      </c>
    </row>
    <row r="32">
      <c r="A32" s="14" t="inlineStr">
        <is>
          <t>Cash on hand</t>
        </is>
      </c>
      <c r="B32" s="12">
        <f>IFERROR(IF(INDEX('Candidate Totals'!$I$6:$I$15,MATCH("Bob Brooks",'Candidate Totals'!$A$6:$A$15,0))=0,"",INDEX('Candidate Totals'!$I$6:$I$15,MATCH("Bob Brooks",'Candidate Totals'!$A$6:$A$15,0))),"")</f>
        <v/>
      </c>
      <c r="C32" s="12">
        <f>IFERROR(IF(INDEX('Candidate Totals'!$I$6:$I$15,MATCH("Ryan Mackenzie",'Candidate Totals'!$A$6:$A$15,0))=0,"",INDEX('Candidate Totals'!$I$6:$I$15,MATCH("Ryan Mackenzie",'Candidate Totals'!$A$6:$A$15,0))),"")</f>
        <v/>
      </c>
      <c r="D32" s="40">
        <f>IF(AND(ISNUMBER(C32),ISNUMBER(B32)),C32-B32,"")</f>
        <v/>
      </c>
    </row>
    <row r="33">
      <c r="A33" s="14" t="inlineStr">
        <is>
          <t>Debts owed</t>
        </is>
      </c>
      <c r="B33" s="12">
        <f>IFERROR(INDEX('Candidate Totals'!$J$6:$J$15,MATCH("Bob Brooks",'Candidate Totals'!$A$6:$A$15,0)),"")</f>
        <v/>
      </c>
      <c r="C33" s="12">
        <f>IFERROR(INDEX('Candidate Totals'!$J$6:$J$15,MATCH("Ryan Mackenzie",'Candidate Totals'!$A$6:$A$15,0)),"")</f>
        <v/>
      </c>
      <c r="D33" s="40">
        <f>IF(AND(ISNUMBER(C33),ISNUMBER(B33)),C33-B33,"")</f>
        <v/>
      </c>
    </row>
    <row r="34">
      <c r="A34" s="14" t="inlineStr">
        <is>
          <t>Burn rate (disbursed / raised)</t>
        </is>
      </c>
      <c r="B34" s="22">
        <f>IF(AND(ISNUMBER(B31),ISNUMBER(B30),B30&lt;&gt;0),B31/B30,"")</f>
        <v/>
      </c>
      <c r="C34" s="22">
        <f>IF(AND(ISNUMBER(C31),ISNUMBER(C30),C30&lt;&gt;0),C31/C30,"")</f>
        <v/>
      </c>
      <c r="D34" s="41">
        <f>IF(AND(ISNUMBER(C34),ISNUMBER(B34)),C34-B34,"")</f>
        <v/>
      </c>
    </row>
    <row r="35">
      <c r="A35" s="14" t="inlineStr">
        <is>
          <t>Cash on hand / receipts</t>
        </is>
      </c>
      <c r="B35" s="22">
        <f>IF(AND(ISNUMBER(B32),ISNUMBER(B30),B30&lt;&gt;0),B32/B30,"")</f>
        <v/>
      </c>
      <c r="C35" s="22">
        <f>IF(AND(ISNUMBER(C32),ISNUMBER(C30),C30&lt;&gt;0),C32/C30,"")</f>
        <v/>
      </c>
      <c r="D35" s="41">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Q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2026-09-17T21:20:04Z.</t>
        </is>
      </c>
    </row>
    <row r="4" ht="18" customHeight="1">
      <c r="A4" s="3" t="inlineStr">
        <is>
          <t>EVERY DECLARED CANDIDATE</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2" t="n">
        <v>4357405.11</v>
      </c>
      <c r="H6" s="42" t="n">
        <v>1521927.85</v>
      </c>
      <c r="I6" s="42" t="n">
        <v>2938717.17</v>
      </c>
      <c r="J6" s="42" t="n">
        <v>22583.23</v>
      </c>
      <c r="K6" s="42" t="n">
        <v>1493241.01</v>
      </c>
      <c r="L6" s="42" t="n">
        <v>554133.97</v>
      </c>
      <c r="M6" s="42" t="n">
        <v>1042912.78</v>
      </c>
      <c r="N6" s="42" t="n">
        <v>5000</v>
      </c>
      <c r="O6" s="42" t="n">
        <v>1779199.14</v>
      </c>
      <c r="P6" s="42" t="n">
        <v>0</v>
      </c>
      <c r="Q6" s="40">
        <f>IF(ISNUMBER(G6),G6-(K6+M6+N6+O6+P6),"")</f>
        <v/>
      </c>
    </row>
    <row r="7">
      <c r="A7" s="11" t="inlineStr">
        <is>
          <t>Bob Brooks</t>
        </is>
      </c>
      <c r="B7" s="11" t="inlineStr">
        <is>
          <t>DEM</t>
        </is>
      </c>
      <c r="C7" s="11" t="inlineStr">
        <is>
          <t>Nominee</t>
        </is>
      </c>
      <c r="D7" s="11" t="inlineStr">
        <is>
          <t>no</t>
        </is>
      </c>
      <c r="E7" s="11" t="inlineStr">
        <is>
          <t>yes</t>
        </is>
      </c>
      <c r="F7" s="11" t="inlineStr">
        <is>
          <t>2026-06-30</t>
        </is>
      </c>
      <c r="G7" s="42" t="n">
        <v>2392215.23</v>
      </c>
      <c r="H7" s="42" t="n">
        <v>1373792.39</v>
      </c>
      <c r="I7" s="42" t="n">
        <v>1018422.84</v>
      </c>
      <c r="J7" s="42" t="n">
        <v>15000</v>
      </c>
      <c r="K7" s="42" t="n">
        <v>1942165.53</v>
      </c>
      <c r="L7" s="42" t="n">
        <v>599386.78</v>
      </c>
      <c r="M7" s="42" t="n">
        <v>403000.03</v>
      </c>
      <c r="N7" s="42" t="n">
        <v>5000</v>
      </c>
      <c r="O7" s="42" t="n">
        <v>26085</v>
      </c>
      <c r="P7" s="42" t="n">
        <v>3500</v>
      </c>
      <c r="Q7" s="40">
        <f>IF(ISNUMBER(G7),G7-(K7+M7+N7+O7+P7),"")</f>
        <v/>
      </c>
    </row>
    <row r="8">
      <c r="A8" s="14" t="inlineStr">
        <is>
          <t>Ryan Crosswell</t>
        </is>
      </c>
      <c r="B8" s="14" t="inlineStr">
        <is>
          <t>DEM</t>
        </is>
      </c>
      <c r="C8" s="14" t="inlineStr">
        <is>
          <t>Primary candidate</t>
        </is>
      </c>
      <c r="D8" s="14" t="inlineStr">
        <is>
          <t>no</t>
        </is>
      </c>
      <c r="E8" s="14" t="inlineStr">
        <is>
          <t>yes</t>
        </is>
      </c>
      <c r="F8" s="14" t="inlineStr">
        <is>
          <t>2026-06-30</t>
        </is>
      </c>
      <c r="G8" s="42" t="n">
        <v>1872528.13</v>
      </c>
      <c r="H8" s="42" t="n">
        <v>1859323.43</v>
      </c>
      <c r="I8" s="42" t="n">
        <v>13204.7</v>
      </c>
      <c r="J8" s="42" t="n">
        <v>0</v>
      </c>
      <c r="K8" s="42" t="n">
        <v>1794415.95</v>
      </c>
      <c r="L8" s="42" t="n">
        <v>407478.81</v>
      </c>
      <c r="M8" s="42" t="n">
        <v>24750</v>
      </c>
      <c r="N8" s="42" t="n">
        <v>0</v>
      </c>
      <c r="O8" s="42" t="n">
        <v>49522.52</v>
      </c>
      <c r="P8" s="42" t="n">
        <v>0</v>
      </c>
      <c r="Q8" s="40">
        <f>IF(ISNUMBER(G8),G8-(K8+M8+N8+O8+P8),"")</f>
        <v/>
      </c>
    </row>
    <row r="9">
      <c r="A9" s="14" t="inlineStr">
        <is>
          <t>Carol Obando-Derstine</t>
        </is>
      </c>
      <c r="B9" s="14" t="inlineStr">
        <is>
          <t>DEM</t>
        </is>
      </c>
      <c r="C9" s="14" t="inlineStr">
        <is>
          <t>Primary candidate</t>
        </is>
      </c>
      <c r="D9" s="14" t="inlineStr">
        <is>
          <t>no</t>
        </is>
      </c>
      <c r="E9" s="14" t="inlineStr">
        <is>
          <t>yes</t>
        </is>
      </c>
      <c r="F9" s="14" t="inlineStr">
        <is>
          <t>2026-06-30</t>
        </is>
      </c>
      <c r="G9" s="42" t="n">
        <v>593293.48</v>
      </c>
      <c r="H9" s="42" t="n">
        <v>591121.38</v>
      </c>
      <c r="I9" s="42" t="n">
        <v>2172.1</v>
      </c>
      <c r="J9" s="42" t="n">
        <v>35000</v>
      </c>
      <c r="K9" s="42" t="n">
        <v>485269.81</v>
      </c>
      <c r="L9" s="42" t="n">
        <v>131453.58</v>
      </c>
      <c r="M9" s="42" t="n">
        <v>53134.65</v>
      </c>
      <c r="N9" s="42" t="n">
        <v>0</v>
      </c>
      <c r="O9" s="42" t="n">
        <v>10889.98</v>
      </c>
      <c r="P9" s="42" t="n">
        <v>9302.34</v>
      </c>
      <c r="Q9" s="40">
        <f>IF(ISNUMBER(G9),G9-(K9+M9+N9+O9+P9),"")</f>
        <v/>
      </c>
    </row>
    <row r="10">
      <c r="A10" s="14" t="inlineStr">
        <is>
          <t>Lamont McClure</t>
        </is>
      </c>
      <c r="B10" s="14" t="inlineStr">
        <is>
          <t>DEM</t>
        </is>
      </c>
      <c r="C10" s="14" t="inlineStr">
        <is>
          <t>Primary candidate</t>
        </is>
      </c>
      <c r="D10" s="14" t="inlineStr">
        <is>
          <t>no</t>
        </is>
      </c>
      <c r="E10" s="14" t="inlineStr">
        <is>
          <t>yes</t>
        </is>
      </c>
      <c r="F10" s="14" t="inlineStr">
        <is>
          <t>2026-06-30</t>
        </is>
      </c>
      <c r="G10" s="42" t="n">
        <v>515144.34</v>
      </c>
      <c r="H10" s="42" t="n">
        <v>512981.08</v>
      </c>
      <c r="I10" s="42" t="n">
        <v>2163.26</v>
      </c>
      <c r="J10" s="42" t="n">
        <v>200000</v>
      </c>
      <c r="K10" s="42" t="n">
        <v>246039.79</v>
      </c>
      <c r="L10" s="42" t="n">
        <v>54880.62</v>
      </c>
      <c r="M10" s="42" t="n">
        <v>45100</v>
      </c>
      <c r="N10" s="42" t="n">
        <v>0</v>
      </c>
      <c r="O10" s="42" t="n">
        <v>0</v>
      </c>
      <c r="P10" s="42" t="n">
        <v>24000</v>
      </c>
      <c r="Q10" s="40">
        <f>IF(ISNUMBER(G10),G10-(K10+M10+N10+O10+P10),"")</f>
        <v/>
      </c>
    </row>
    <row r="11">
      <c r="A11" s="14" t="inlineStr">
        <is>
          <t>Mark Pinsley</t>
        </is>
      </c>
      <c r="B11" s="14" t="inlineStr">
        <is>
          <t>DEM</t>
        </is>
      </c>
      <c r="C11" s="14" t="inlineStr">
        <is>
          <t>Primary candidate</t>
        </is>
      </c>
      <c r="D11" s="14" t="inlineStr">
        <is>
          <t>no</t>
        </is>
      </c>
      <c r="E11" s="14" t="inlineStr">
        <is>
          <t>yes</t>
        </is>
      </c>
      <c r="F11" s="14" t="inlineStr">
        <is>
          <t>2026-04-29</t>
        </is>
      </c>
      <c r="G11" s="42" t="n">
        <v>179911.74</v>
      </c>
      <c r="H11" s="42" t="n">
        <v>125387.79</v>
      </c>
      <c r="I11" s="42" t="n">
        <v>54523.95</v>
      </c>
      <c r="J11" s="42" t="n">
        <v>-1567.67</v>
      </c>
      <c r="K11" s="42" t="n">
        <v>179411.74</v>
      </c>
      <c r="L11" s="42" t="n">
        <v>83715.27</v>
      </c>
      <c r="M11" s="42" t="n">
        <v>500</v>
      </c>
      <c r="N11" s="42" t="n">
        <v>0</v>
      </c>
      <c r="O11" s="42" t="n">
        <v>0</v>
      </c>
      <c r="P11" s="42" t="n">
        <v>0</v>
      </c>
      <c r="Q11" s="40">
        <f>IF(ISNUMBER(G11),G11-(K11+M11+N11+O11+P11),"")</f>
        <v/>
      </c>
    </row>
    <row r="12">
      <c r="A12" s="14" t="inlineStr">
        <is>
          <t>Frank Golden</t>
        </is>
      </c>
      <c r="B12" s="14" t="inlineStr">
        <is>
          <t>UN</t>
        </is>
      </c>
      <c r="C12" s="14" t="inlineStr">
        <is>
          <t>Declared</t>
        </is>
      </c>
      <c r="D12" s="14" t="inlineStr">
        <is>
          <t>no</t>
        </is>
      </c>
      <c r="E12" s="43" t="inlineStr">
        <is>
          <t>no report</t>
        </is>
      </c>
      <c r="F12" s="14" t="inlineStr">
        <is>
          <t>-</t>
        </is>
      </c>
      <c r="G12" s="44" t="n"/>
      <c r="H12" s="44" t="n"/>
      <c r="I12" s="44" t="n"/>
      <c r="J12" s="44" t="n"/>
      <c r="K12" s="44" t="n"/>
      <c r="L12" s="44" t="n"/>
      <c r="M12" s="44" t="n"/>
      <c r="N12" s="44" t="n"/>
      <c r="O12" s="44" t="n"/>
      <c r="P12" s="44" t="n"/>
      <c r="Q12" s="44" t="n"/>
    </row>
    <row r="13">
      <c r="A13" s="14" t="inlineStr">
        <is>
          <t>Aiden Alexander Gonzalez</t>
        </is>
      </c>
      <c r="B13" s="14" t="inlineStr">
        <is>
          <t>DEM</t>
        </is>
      </c>
      <c r="C13" s="14" t="inlineStr">
        <is>
          <t>Primary candidate</t>
        </is>
      </c>
      <c r="D13" s="14" t="inlineStr">
        <is>
          <t>no</t>
        </is>
      </c>
      <c r="E13" s="43" t="inlineStr">
        <is>
          <t>no report</t>
        </is>
      </c>
      <c r="F13" s="14" t="inlineStr">
        <is>
          <t>-</t>
        </is>
      </c>
      <c r="G13" s="44" t="n"/>
      <c r="H13" s="44" t="n"/>
      <c r="I13" s="44" t="n"/>
      <c r="J13" s="44" t="n"/>
      <c r="K13" s="44" t="n"/>
      <c r="L13" s="44" t="n"/>
      <c r="M13" s="44" t="n"/>
      <c r="N13" s="44" t="n"/>
      <c r="O13" s="44" t="n"/>
      <c r="P13" s="44" t="n"/>
      <c r="Q13" s="44" t="n"/>
    </row>
    <row r="14">
      <c r="A14" s="14" t="inlineStr">
        <is>
          <t>Michael Ramon Granados Jr.</t>
        </is>
      </c>
      <c r="B14" s="14" t="inlineStr">
        <is>
          <t>IND</t>
        </is>
      </c>
      <c r="C14" s="14" t="inlineStr">
        <is>
          <t>Declared</t>
        </is>
      </c>
      <c r="D14" s="14" t="inlineStr">
        <is>
          <t>no</t>
        </is>
      </c>
      <c r="E14" s="43" t="inlineStr">
        <is>
          <t>no report</t>
        </is>
      </c>
      <c r="F14" s="14" t="inlineStr">
        <is>
          <t>-</t>
        </is>
      </c>
      <c r="G14" s="44" t="n"/>
      <c r="H14" s="44" t="n"/>
      <c r="I14" s="44" t="n"/>
      <c r="J14" s="44" t="n"/>
      <c r="K14" s="44" t="n"/>
      <c r="L14" s="44" t="n"/>
      <c r="M14" s="44" t="n"/>
      <c r="N14" s="44" t="n"/>
      <c r="O14" s="44" t="n"/>
      <c r="P14" s="44" t="n"/>
      <c r="Q14" s="44" t="n"/>
    </row>
    <row r="15">
      <c r="A15" s="14" t="inlineStr">
        <is>
          <t>Lewis Shupe</t>
        </is>
      </c>
      <c r="B15" s="14" t="inlineStr">
        <is>
          <t>IND</t>
        </is>
      </c>
      <c r="C15" s="14" t="inlineStr">
        <is>
          <t>Declared</t>
        </is>
      </c>
      <c r="D15" s="14" t="inlineStr">
        <is>
          <t>no</t>
        </is>
      </c>
      <c r="E15" s="43" t="inlineStr">
        <is>
          <t>no report</t>
        </is>
      </c>
      <c r="F15" s="14" t="inlineStr">
        <is>
          <t>-</t>
        </is>
      </c>
      <c r="G15" s="44" t="n"/>
      <c r="H15" s="44" t="n"/>
      <c r="I15" s="44" t="n"/>
      <c r="J15" s="44" t="n"/>
      <c r="K15" s="44" t="n"/>
      <c r="L15" s="44" t="n"/>
      <c r="M15" s="44" t="n"/>
      <c r="N15" s="44" t="n"/>
      <c r="O15" s="44" t="n"/>
      <c r="P15" s="44" t="n"/>
      <c r="Q15" s="44" t="n"/>
    </row>
    <row r="16">
      <c r="A16" s="15" t="inlineStr">
        <is>
          <t>TOTAL, all candidates who filed</t>
        </is>
      </c>
      <c r="B16" s="20" t="n"/>
      <c r="C16" s="20" t="n"/>
      <c r="D16" s="20" t="n"/>
      <c r="E16" s="20" t="n"/>
      <c r="F16" s="20" t="n"/>
      <c r="G16" s="17">
        <f>SUM(G6:G15)</f>
        <v/>
      </c>
      <c r="H16" s="17">
        <f>SUM(H6:H15)</f>
        <v/>
      </c>
      <c r="I16" s="17">
        <f>SUM(I6:I15)</f>
        <v/>
      </c>
      <c r="J16" s="17">
        <f>SUM(J6:J15)</f>
        <v/>
      </c>
      <c r="K16" s="17">
        <f>SUM(K6:K15)</f>
        <v/>
      </c>
      <c r="L16" s="17">
        <f>SUM(L6:L15)</f>
        <v/>
      </c>
      <c r="M16" s="17">
        <f>SUM(M6:M15)</f>
        <v/>
      </c>
      <c r="N16" s="17">
        <f>SUM(N6:N15)</f>
        <v/>
      </c>
      <c r="O16" s="17">
        <f>SUM(O6:O15)</f>
        <v/>
      </c>
      <c r="P16" s="17">
        <f>SUM(P6:P15)</f>
        <v/>
      </c>
      <c r="Q16" s="17">
        <f>SUM(Q6:Q15)</f>
        <v/>
      </c>
    </row>
    <row r="18" ht="13" customHeight="1">
      <c r="A18" s="45" t="inlineStr">
        <is>
          <t>HOW TO READ THIS TABLE</t>
        </is>
      </c>
    </row>
    <row r="19" ht="13" customHeight="1">
      <c r="A19" s="32" t="inlineStr">
        <is>
          <t>Candidates with no periodic report on file have BLANK financial cells, not $0. The FEC reports nothing for them, which is a different claim from 'raised nothing'. SUM() ignores blanks.</t>
        </is>
      </c>
    </row>
    <row r="20" ht="13" customHeight="1">
      <c r="A20" s="32" t="inlineStr">
        <is>
          <t>'Status' comes from sources/race.json: the two nominees are named there; any other Democrat or Republican who filed is a primary candidate; the rest are declared candidates of other parties.</t>
        </is>
      </c>
    </row>
    <row r="21" ht="13" customHeight="1">
      <c r="A21" s="32" t="inlineStr">
        <is>
          <t>'of which unitemized' is a subset of 'Individual, total'. Adding it to the other source columns double-counts.</t>
        </is>
      </c>
    </row>
    <row r="22" ht="13" customHeight="1">
      <c r="A22" s="32" t="inlineStr">
        <is>
          <t>Blue figures are values from the FEC API. Black figures are formulas.</t>
        </is>
      </c>
    </row>
  </sheetData>
  <mergeCells count="5">
    <mergeCell ref="A22:Q22"/>
    <mergeCell ref="A18:Q18"/>
    <mergeCell ref="A21:Q21"/>
    <mergeCell ref="A20:Q20"/>
    <mergeCell ref="A19:Q1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3864"/>
    <outlinePr summaryBelow="1" summaryRight="1"/>
    <pageSetUpPr/>
  </sheetPr>
  <dimension ref="A1:G5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IFERROR(D6/$D$34,"")</f>
        <v/>
      </c>
    </row>
    <row r="7">
      <c r="A7" s="14" t="inlineStr">
        <is>
          <t>LEAD LEFT PAC</t>
        </is>
      </c>
      <c r="B7" s="14" t="inlineStr">
        <is>
          <t>Bob Brooks</t>
        </is>
      </c>
      <c r="C7" s="46" t="inlineStr">
        <is>
          <t>Opposes</t>
        </is>
      </c>
      <c r="D7" s="47" t="n">
        <v>312371.76</v>
      </c>
      <c r="E7" s="14" t="n">
        <v>7</v>
      </c>
      <c r="F7" s="14" t="inlineStr">
        <is>
          <t>C00948208</t>
        </is>
      </c>
      <c r="G7" s="22">
        <f>IFERROR(D7/$D$34,"")</f>
        <v/>
      </c>
    </row>
    <row r="8">
      <c r="A8" s="14" t="inlineStr">
        <is>
          <t>JOBS AND DEMOCRACY PAC</t>
        </is>
      </c>
      <c r="B8" s="14" t="inlineStr">
        <is>
          <t>Bob Brooks</t>
        </is>
      </c>
      <c r="C8" s="46" t="inlineStr">
        <is>
          <t>Supports</t>
        </is>
      </c>
      <c r="D8" s="47" t="n">
        <v>249750</v>
      </c>
      <c r="E8" s="14" t="n">
        <v>1</v>
      </c>
      <c r="F8" s="14" t="inlineStr">
        <is>
          <t>C00928374</t>
        </is>
      </c>
      <c r="G8" s="22">
        <f>IFERROR(D8/$D$34,"")</f>
        <v/>
      </c>
    </row>
    <row r="9">
      <c r="A9" s="14" t="inlineStr">
        <is>
          <t>CONGRESSIONAL PROGRESSIVE CAUCUS PAC</t>
        </is>
      </c>
      <c r="B9" s="14" t="inlineStr">
        <is>
          <t>Bob Brooks</t>
        </is>
      </c>
      <c r="C9" s="46" t="inlineStr">
        <is>
          <t>Supports</t>
        </is>
      </c>
      <c r="D9" s="47" t="n">
        <v>140300</v>
      </c>
      <c r="E9" s="14" t="n">
        <v>2</v>
      </c>
      <c r="F9" s="14" t="inlineStr">
        <is>
          <t>C00513176</t>
        </is>
      </c>
      <c r="G9" s="22">
        <f>IFERROR(D9/$D$34,"")</f>
        <v/>
      </c>
    </row>
    <row r="10">
      <c r="A10" s="14" t="inlineStr">
        <is>
          <t>MEDICARE FOR ALL</t>
        </is>
      </c>
      <c r="B10" s="14" t="inlineStr">
        <is>
          <t>Bob Brooks</t>
        </is>
      </c>
      <c r="C10" s="46" t="inlineStr">
        <is>
          <t>Supports</t>
        </is>
      </c>
      <c r="D10" s="47" t="n">
        <v>99625</v>
      </c>
      <c r="E10" s="14" t="n">
        <v>2</v>
      </c>
      <c r="F10" s="14" t="inlineStr">
        <is>
          <t>C00685552</t>
        </is>
      </c>
      <c r="G10" s="22">
        <f>IFERROR(D10/$D$34,"")</f>
        <v/>
      </c>
    </row>
    <row r="11">
      <c r="A11" s="14" t="inlineStr">
        <is>
          <t>DLP PAC</t>
        </is>
      </c>
      <c r="B11" s="14" t="inlineStr">
        <is>
          <t>Bob Brooks</t>
        </is>
      </c>
      <c r="C11" s="46" t="inlineStr">
        <is>
          <t>Supports</t>
        </is>
      </c>
      <c r="D11" s="47" t="n">
        <v>88321.5</v>
      </c>
      <c r="E11" s="14" t="n">
        <v>4</v>
      </c>
      <c r="F11" s="14" t="inlineStr">
        <is>
          <t>C00895730</t>
        </is>
      </c>
      <c r="G11" s="22">
        <f>IFERROR(D11/$D$34,"")</f>
        <v/>
      </c>
    </row>
    <row r="12">
      <c r="A12" s="14" t="inlineStr">
        <is>
          <t>MAKE THE ROAD ACTION POLITICAL COMMITTEE</t>
        </is>
      </c>
      <c r="B12" s="14" t="inlineStr">
        <is>
          <t>Bob Brooks</t>
        </is>
      </c>
      <c r="C12" s="46" t="inlineStr">
        <is>
          <t>Supports</t>
        </is>
      </c>
      <c r="D12" s="47" t="n">
        <v>30559.95</v>
      </c>
      <c r="E12" s="14" t="n">
        <v>9</v>
      </c>
      <c r="F12" s="14" t="inlineStr">
        <is>
          <t>C00689745</t>
        </is>
      </c>
      <c r="G12" s="22">
        <f>IFERROR(D12/$D$34,"")</f>
        <v/>
      </c>
    </row>
    <row r="13">
      <c r="A13" s="14" t="inlineStr">
        <is>
          <t>BLUE MAJORITY PROJECT</t>
        </is>
      </c>
      <c r="B13" s="14" t="inlineStr">
        <is>
          <t>Bob Brooks</t>
        </is>
      </c>
      <c r="C13" s="46" t="inlineStr">
        <is>
          <t>Supports</t>
        </is>
      </c>
      <c r="D13" s="47" t="n">
        <v>16643.34</v>
      </c>
      <c r="E13" s="14" t="n">
        <v>3</v>
      </c>
      <c r="F13" s="14" t="inlineStr">
        <is>
          <t>C00897363</t>
        </is>
      </c>
      <c r="G13" s="22">
        <f>IFERROR(D13/$D$34,"")</f>
        <v/>
      </c>
    </row>
    <row r="14">
      <c r="A14" s="14" t="inlineStr">
        <is>
          <t>BLUE BATTLEGROUND PROJECT</t>
        </is>
      </c>
      <c r="B14" s="14" t="inlineStr">
        <is>
          <t>Bob Brooks</t>
        </is>
      </c>
      <c r="C14" s="46" t="inlineStr">
        <is>
          <t>Supports</t>
        </is>
      </c>
      <c r="D14" s="47" t="n">
        <v>9116.67</v>
      </c>
      <c r="E14" s="14" t="n">
        <v>1</v>
      </c>
      <c r="F14" s="14" t="inlineStr">
        <is>
          <t>C00704593</t>
        </is>
      </c>
      <c r="G14" s="22">
        <f>IFERROR(D14/$D$34,"")</f>
        <v/>
      </c>
    </row>
    <row r="15">
      <c r="A15" s="14" t="inlineStr">
        <is>
          <t>KITCHEN TABLE VALUES PAC</t>
        </is>
      </c>
      <c r="B15" s="14" t="inlineStr">
        <is>
          <t>Bob Brooks</t>
        </is>
      </c>
      <c r="C15" s="46" t="inlineStr">
        <is>
          <t>Opposes</t>
        </is>
      </c>
      <c r="D15" s="47" t="n">
        <v>8840</v>
      </c>
      <c r="E15" s="14" t="n">
        <v>5</v>
      </c>
      <c r="F15" s="14" t="inlineStr">
        <is>
          <t>C00924159</t>
        </is>
      </c>
      <c r="G15" s="22">
        <f>IFERROR(D15/$D$34,"")</f>
        <v/>
      </c>
    </row>
    <row r="16">
      <c r="A16" s="14" t="inlineStr">
        <is>
          <t>YOUTH SAVE DEMOCRACY PAC</t>
        </is>
      </c>
      <c r="B16" s="14" t="inlineStr">
        <is>
          <t>Ryan Mackenzie</t>
        </is>
      </c>
      <c r="C16" s="46" t="inlineStr">
        <is>
          <t>Opposes</t>
        </is>
      </c>
      <c r="D16" s="47" t="n">
        <v>6044</v>
      </c>
      <c r="E16" s="14" t="n">
        <v>1</v>
      </c>
      <c r="F16" s="14" t="inlineStr">
        <is>
          <t>C00832493</t>
        </is>
      </c>
      <c r="G16" s="22">
        <f>IFERROR(D16/$D$34,"")</f>
        <v/>
      </c>
    </row>
    <row r="17">
      <c r="A17" s="14" t="inlineStr">
        <is>
          <t>MAJORITY BLUE PAC</t>
        </is>
      </c>
      <c r="B17" s="14" t="inlineStr">
        <is>
          <t>Bob Brooks</t>
        </is>
      </c>
      <c r="C17" s="46" t="inlineStr">
        <is>
          <t>Supports</t>
        </is>
      </c>
      <c r="D17" s="47" t="n">
        <v>4941.66</v>
      </c>
      <c r="E17" s="14" t="n">
        <v>2</v>
      </c>
      <c r="F17" s="14" t="inlineStr">
        <is>
          <t>C00948000</t>
        </is>
      </c>
      <c r="G17" s="22">
        <f>IFERROR(D17/$D$34,"")</f>
        <v/>
      </c>
    </row>
    <row r="18">
      <c r="A18" s="14" t="inlineStr">
        <is>
          <t>BLUE SHIFT PAC</t>
        </is>
      </c>
      <c r="B18" s="14" t="inlineStr">
        <is>
          <t>Bob Brooks</t>
        </is>
      </c>
      <c r="C18" s="46" t="inlineStr">
        <is>
          <t>Supports</t>
        </is>
      </c>
      <c r="D18" s="47" t="n">
        <v>4708.33</v>
      </c>
      <c r="E18" s="14" t="n">
        <v>2</v>
      </c>
      <c r="F18" s="14" t="inlineStr">
        <is>
          <t>C00933614</t>
        </is>
      </c>
      <c r="G18" s="22">
        <f>IFERROR(D18/$D$34,"")</f>
        <v/>
      </c>
    </row>
    <row r="19">
      <c r="A19" s="14" t="inlineStr">
        <is>
          <t>FF PAC</t>
        </is>
      </c>
      <c r="B19" s="14" t="inlineStr">
        <is>
          <t>Bob Brooks</t>
        </is>
      </c>
      <c r="C19" s="46" t="inlineStr">
        <is>
          <t>Supports</t>
        </is>
      </c>
      <c r="D19" s="47" t="n">
        <v>4500</v>
      </c>
      <c r="E19" s="14" t="n">
        <v>2</v>
      </c>
      <c r="F19" s="14" t="inlineStr">
        <is>
          <t>C00669259</t>
        </is>
      </c>
      <c r="G19" s="22">
        <f>IFERROR(D19/$D$34,"")</f>
        <v/>
      </c>
    </row>
    <row r="20">
      <c r="A20" s="14" t="inlineStr">
        <is>
          <t>WORKING FAMILIES PARTY PAC</t>
        </is>
      </c>
      <c r="B20" s="14" t="inlineStr">
        <is>
          <t>Bob Brooks</t>
        </is>
      </c>
      <c r="C20" s="46" t="inlineStr">
        <is>
          <t>Supports</t>
        </is>
      </c>
      <c r="D20" s="47" t="n">
        <v>3556.19</v>
      </c>
      <c r="E20" s="14" t="n">
        <v>1</v>
      </c>
      <c r="F20" s="14" t="inlineStr">
        <is>
          <t>C00606962</t>
        </is>
      </c>
      <c r="G20" s="22">
        <f>IFERROR(D20/$D$34,"")</f>
        <v/>
      </c>
    </row>
    <row r="21">
      <c r="A21" s="14" t="inlineStr">
        <is>
          <t>DEMOCRATIC FUTURE PAC</t>
        </is>
      </c>
      <c r="B21" s="14" t="inlineStr">
        <is>
          <t>Bob Brooks</t>
        </is>
      </c>
      <c r="C21" s="46" t="inlineStr">
        <is>
          <t>Supports</t>
        </is>
      </c>
      <c r="D21" s="47" t="n">
        <v>2600</v>
      </c>
      <c r="E21" s="14" t="n">
        <v>2</v>
      </c>
      <c r="F21" s="14" t="inlineStr">
        <is>
          <t>C00934273</t>
        </is>
      </c>
      <c r="G21" s="22">
        <f>IFERROR(D21/$D$34,"")</f>
        <v/>
      </c>
    </row>
    <row r="22">
      <c r="A22" s="14" t="inlineStr">
        <is>
          <t>INDIGO PAC</t>
        </is>
      </c>
      <c r="B22" s="14" t="inlineStr">
        <is>
          <t>Ryan Mackenzie</t>
        </is>
      </c>
      <c r="C22" s="46" t="inlineStr">
        <is>
          <t>Opposes</t>
        </is>
      </c>
      <c r="D22" s="47" t="n">
        <v>1835.77</v>
      </c>
      <c r="E22" s="14" t="n">
        <v>10</v>
      </c>
      <c r="F22" s="14" t="inlineStr">
        <is>
          <t>C00909465</t>
        </is>
      </c>
      <c r="G22" s="22">
        <f>IFERROR(D22/$D$34,"")</f>
        <v/>
      </c>
    </row>
    <row r="23">
      <c r="A23" s="14" t="inlineStr">
        <is>
          <t>ACTIVATE AMERICA</t>
        </is>
      </c>
      <c r="B23" s="14" t="inlineStr">
        <is>
          <t>Ryan Mackenzie</t>
        </is>
      </c>
      <c r="C23" s="46" t="inlineStr">
        <is>
          <t>Opposes</t>
        </is>
      </c>
      <c r="D23" s="47" t="n">
        <v>1702.29</v>
      </c>
      <c r="E23" s="14" t="n">
        <v>4</v>
      </c>
      <c r="F23" s="14" t="inlineStr">
        <is>
          <t>C00640300</t>
        </is>
      </c>
      <c r="G23" s="22">
        <f>IFERROR(D23/$D$34,"")</f>
        <v/>
      </c>
    </row>
    <row r="24">
      <c r="A24" s="14" t="inlineStr">
        <is>
          <t>RURAL FREEDOM NETWORK</t>
        </is>
      </c>
      <c r="B24" s="14" t="inlineStr">
        <is>
          <t>Ryan Mackenzie</t>
        </is>
      </c>
      <c r="C24" s="46" t="inlineStr">
        <is>
          <t>Opposes</t>
        </is>
      </c>
      <c r="D24" s="47" t="n">
        <v>1517.06</v>
      </c>
      <c r="E24" s="14" t="n">
        <v>1</v>
      </c>
      <c r="F24" s="14" t="inlineStr">
        <is>
          <t>C00647966</t>
        </is>
      </c>
      <c r="G24" s="22">
        <f>IFERROR(D24/$D$34,"")</f>
        <v/>
      </c>
    </row>
    <row r="25">
      <c r="A25" s="14" t="inlineStr">
        <is>
          <t>FIELD TEAM 6, INC.</t>
        </is>
      </c>
      <c r="B25" s="14" t="inlineStr">
        <is>
          <t>Ryan Mackenzie</t>
        </is>
      </c>
      <c r="C25" s="46" t="inlineStr">
        <is>
          <t>Opposes</t>
        </is>
      </c>
      <c r="D25" s="47" t="n">
        <v>1096.69</v>
      </c>
      <c r="E25" s="14" t="n">
        <v>2</v>
      </c>
      <c r="F25" s="14" t="inlineStr">
        <is>
          <t>C00909994</t>
        </is>
      </c>
      <c r="G25" s="22">
        <f>IFERROR(D25/$D$34,"")</f>
        <v/>
      </c>
    </row>
    <row r="26">
      <c r="A26" s="14" t="inlineStr">
        <is>
          <t>BLUE DEMOCRACY NETWORK</t>
        </is>
      </c>
      <c r="B26" s="14" t="inlineStr">
        <is>
          <t>Bob Brooks</t>
        </is>
      </c>
      <c r="C26" s="46" t="inlineStr">
        <is>
          <t>Supports</t>
        </is>
      </c>
      <c r="D26" s="47" t="n">
        <v>1075</v>
      </c>
      <c r="E26" s="14" t="n">
        <v>2</v>
      </c>
      <c r="F26" s="14" t="inlineStr">
        <is>
          <t>C00933796</t>
        </is>
      </c>
      <c r="G26" s="22">
        <f>IFERROR(D26/$D$34,"")</f>
        <v/>
      </c>
    </row>
    <row r="27">
      <c r="A27" s="14" t="inlineStr">
        <is>
          <t>BLUE MAJORITY MAKERS PAC</t>
        </is>
      </c>
      <c r="B27" s="14" t="inlineStr">
        <is>
          <t>Bob Brooks</t>
        </is>
      </c>
      <c r="C27" s="46" t="inlineStr">
        <is>
          <t>Supports</t>
        </is>
      </c>
      <c r="D27" s="47" t="n">
        <v>766.66</v>
      </c>
      <c r="E27" s="14" t="n">
        <v>2</v>
      </c>
      <c r="F27" s="14" t="inlineStr">
        <is>
          <t>C00948109</t>
        </is>
      </c>
      <c r="G27" s="22">
        <f>IFERROR(D27/$D$34,"")</f>
        <v/>
      </c>
    </row>
    <row r="28">
      <c r="A28" s="14" t="inlineStr">
        <is>
          <t>FIELD TEAM 6, INC.</t>
        </is>
      </c>
      <c r="B28" s="14" t="inlineStr">
        <is>
          <t>Bob Brooks</t>
        </is>
      </c>
      <c r="C28" s="46" t="inlineStr">
        <is>
          <t>Supports</t>
        </is>
      </c>
      <c r="D28" s="47" t="n">
        <v>638.3</v>
      </c>
      <c r="E28" s="14" t="n">
        <v>1</v>
      </c>
      <c r="F28" s="14" t="inlineStr">
        <is>
          <t>C00909994</t>
        </is>
      </c>
      <c r="G28" s="22">
        <f>IFERROR(D28/$D$34,"")</f>
        <v/>
      </c>
    </row>
    <row r="29">
      <c r="A29" s="14" t="inlineStr">
        <is>
          <t>SURJ PAC</t>
        </is>
      </c>
      <c r="B29" s="14" t="inlineStr">
        <is>
          <t>Bob Brooks</t>
        </is>
      </c>
      <c r="C29" s="46" t="inlineStr">
        <is>
          <t>Supports</t>
        </is>
      </c>
      <c r="D29" s="47" t="n">
        <v>187.51</v>
      </c>
      <c r="E29" s="14" t="n">
        <v>1</v>
      </c>
      <c r="F29" s="14" t="inlineStr">
        <is>
          <t>C00742205</t>
        </is>
      </c>
      <c r="G29" s="22">
        <f>IFERROR(D29/$D$34,"")</f>
        <v/>
      </c>
    </row>
    <row r="30">
      <c r="A30" s="14" t="inlineStr">
        <is>
          <t>RURAL FREEDOM NETWORK</t>
        </is>
      </c>
      <c r="B30" s="14" t="inlineStr">
        <is>
          <t>Bob Brooks</t>
        </is>
      </c>
      <c r="C30" s="46" t="inlineStr">
        <is>
          <t>Supports</t>
        </is>
      </c>
      <c r="D30" s="47" t="n">
        <v>157.07</v>
      </c>
      <c r="E30" s="14" t="n">
        <v>1</v>
      </c>
      <c r="F30" s="14" t="inlineStr">
        <is>
          <t>C00647966</t>
        </is>
      </c>
      <c r="G30" s="22">
        <f>IFERROR(D30/$D$34,"")</f>
        <v/>
      </c>
    </row>
    <row r="31">
      <c r="A31" s="14" t="inlineStr">
        <is>
          <t>PLANNED PARENTHOOD VOTES</t>
        </is>
      </c>
      <c r="B31" s="14" t="inlineStr">
        <is>
          <t>Ryan Mackenzie</t>
        </is>
      </c>
      <c r="C31" s="46" t="inlineStr">
        <is>
          <t>Opposes</t>
        </is>
      </c>
      <c r="D31" s="47" t="n">
        <v>156.81</v>
      </c>
      <c r="E31" s="14" t="n">
        <v>2</v>
      </c>
      <c r="F31" s="14" t="inlineStr">
        <is>
          <t>C00489799</t>
        </is>
      </c>
      <c r="G31" s="22">
        <f>IFERROR(D31/$D$34,"")</f>
        <v/>
      </c>
    </row>
    <row r="32">
      <c r="A32" s="14" t="inlineStr">
        <is>
          <t>THE PEOPLE UNITED PAC</t>
        </is>
      </c>
      <c r="B32" s="14" t="inlineStr">
        <is>
          <t>Bob Brooks</t>
        </is>
      </c>
      <c r="C32" s="46" t="inlineStr">
        <is>
          <t>Supports</t>
        </is>
      </c>
      <c r="D32" s="47" t="n">
        <v>50</v>
      </c>
      <c r="E32" s="14" t="n">
        <v>1</v>
      </c>
      <c r="F32" s="14" t="inlineStr">
        <is>
          <t>C00776419</t>
        </is>
      </c>
      <c r="G32" s="22">
        <f>IFERROR(D32/$D$34,"")</f>
        <v/>
      </c>
    </row>
    <row r="33">
      <c r="A33" s="14" t="inlineStr">
        <is>
          <t>GIVEGREEN UNITED ACTION</t>
        </is>
      </c>
      <c r="B33" s="14" t="inlineStr">
        <is>
          <t>Bob Brooks</t>
        </is>
      </c>
      <c r="C33" s="46" t="inlineStr">
        <is>
          <t>Supports</t>
        </is>
      </c>
      <c r="D33" s="47" t="n">
        <v>36.54</v>
      </c>
      <c r="E33" s="14" t="n">
        <v>2</v>
      </c>
      <c r="F33" s="14" t="inlineStr">
        <is>
          <t>C00802389</t>
        </is>
      </c>
      <c r="G33" s="22">
        <f>IFERROR(D33/$D$34,"")</f>
        <v/>
      </c>
    </row>
    <row r="34">
      <c r="A34" s="15" t="inlineStr">
        <is>
          <t>TOTAL</t>
        </is>
      </c>
      <c r="B34" s="20" t="n"/>
      <c r="C34" s="20" t="n"/>
      <c r="D34" s="48">
        <f>SUM(D6:D33)</f>
        <v/>
      </c>
      <c r="E34" s="20" t="n"/>
      <c r="F34" s="20" t="n"/>
      <c r="G34" s="37">
        <f>IFERROR(SUM(G6:G33),"")</f>
        <v/>
      </c>
    </row>
    <row r="36" ht="18" customHeight="1">
      <c r="A36" s="3" t="inlineStr">
        <is>
          <t>BY TARGET CANDIDATE AND STANCE</t>
        </is>
      </c>
      <c r="B36" s="4" t="n"/>
      <c r="C36" s="4" t="n"/>
      <c r="D36" s="4" t="n"/>
      <c r="E36" s="4" t="n"/>
      <c r="F36" s="4" t="n"/>
      <c r="G36" s="4" t="n"/>
    </row>
    <row r="37" ht="32" customHeight="1">
      <c r="A37" s="10" t="inlineStr">
        <is>
          <t>Target candidate</t>
        </is>
      </c>
      <c r="B37" s="10" t="inlineStr">
        <is>
          <t>Stance</t>
        </is>
      </c>
      <c r="C37" s="10" t="inlineStr">
        <is>
          <t>Amount</t>
        </is>
      </c>
      <c r="D37" s="10" t="inlineStr">
        <is>
          <t>Committees</t>
        </is>
      </c>
      <c r="E37" s="10" t="inlineStr">
        <is>
          <t>Share</t>
        </is>
      </c>
      <c r="F37" s="10" t="inlineStr"/>
      <c r="G37" s="10" t="inlineStr"/>
    </row>
    <row r="38">
      <c r="A38" s="14" t="inlineStr">
        <is>
          <t>Ryan Mackenzie</t>
        </is>
      </c>
      <c r="B38" s="14" t="inlineStr">
        <is>
          <t>Supports</t>
        </is>
      </c>
      <c r="C38" s="40">
        <f>SUMIFS($D$6:$D$33,$B$6:$B$33,A38,$C$6:$C$33,B38)</f>
        <v/>
      </c>
      <c r="D38" s="14">
        <f>COUNTIFS($B$6:$B$33,A38,$C$6:$C$33,B38)</f>
        <v/>
      </c>
      <c r="E38" s="22">
        <f>IFERROR(C38/$D$34,"")</f>
        <v/>
      </c>
    </row>
    <row r="39">
      <c r="A39" s="14" t="inlineStr">
        <is>
          <t>Ryan Mackenzie</t>
        </is>
      </c>
      <c r="B39" s="14" t="inlineStr">
        <is>
          <t>Opposes</t>
        </is>
      </c>
      <c r="C39" s="40">
        <f>SUMIFS($D$6:$D$33,$B$6:$B$33,A39,$C$6:$C$33,B39)</f>
        <v/>
      </c>
      <c r="D39" s="14">
        <f>COUNTIFS($B$6:$B$33,A39,$C$6:$C$33,B39)</f>
        <v/>
      </c>
      <c r="E39" s="22">
        <f>IFERROR(C39/$D$34,"")</f>
        <v/>
      </c>
    </row>
    <row r="40">
      <c r="A40" s="14" t="inlineStr">
        <is>
          <t>Bob Brooks</t>
        </is>
      </c>
      <c r="B40" s="14" t="inlineStr">
        <is>
          <t>Supports</t>
        </is>
      </c>
      <c r="C40" s="40">
        <f>SUMIFS($D$6:$D$33,$B$6:$B$33,A40,$C$6:$C$33,B40)</f>
        <v/>
      </c>
      <c r="D40" s="14">
        <f>COUNTIFS($B$6:$B$33,A40,$C$6:$C$33,B40)</f>
        <v/>
      </c>
      <c r="E40" s="22">
        <f>IFERROR(C40/$D$34,"")</f>
        <v/>
      </c>
    </row>
    <row r="41">
      <c r="A41" s="14" t="inlineStr">
        <is>
          <t>Bob Brooks</t>
        </is>
      </c>
      <c r="B41" s="14" t="inlineStr">
        <is>
          <t>Opposes</t>
        </is>
      </c>
      <c r="C41" s="40">
        <f>SUMIFS($D$6:$D$33,$B$6:$B$33,A41,$C$6:$C$33,B41)</f>
        <v/>
      </c>
      <c r="D41" s="14">
        <f>COUNTIFS($B$6:$B$33,A41,$C$6:$C$33,B41)</f>
        <v/>
      </c>
      <c r="E41" s="22">
        <f>IFERROR(C41/$D$34,"")</f>
        <v/>
      </c>
    </row>
    <row r="42">
      <c r="A42" s="15" t="inlineStr">
        <is>
          <t>TOTAL</t>
        </is>
      </c>
      <c r="B42" s="20" t="n"/>
      <c r="C42" s="17">
        <f>SUM(C38:C41)</f>
        <v/>
      </c>
      <c r="D42" s="15">
        <f>SUM(D38:D41)</f>
        <v/>
      </c>
      <c r="E42" s="20" t="n"/>
    </row>
    <row r="44" ht="13" customHeight="1">
      <c r="A44" s="45" t="inlineStr">
        <is>
          <t>HOW TO READ OUTSIDE SPENDING</t>
        </is>
      </c>
    </row>
    <row r="45" ht="36" customHeight="1">
      <c r="A45" s="32" t="inlineStr">
        <is>
          <t>- Candidate totals are cycle-to-date from each committee's most recent periodic report (FEC Form 3). Independent expenditures report continuously and are usually fresher than the candidate totals; the two are not as of the same date.</t>
        </is>
      </c>
    </row>
    <row r="46" ht="36" customHeight="1">
      <c r="A46" s="32" t="inlineStr">
        <is>
          <t>- Independent expenditures come from OpenFEC's schedules/schedule_e/by_candidate aggregate, FEC's own deduplication of amended and superseded filings. Summing raw itemized Schedule E lines instead would roughly double the figure and would be wrong.</t>
        </is>
      </c>
    </row>
    <row r="47" ht="24" customHeight="1">
      <c r="A47" s="32" t="inlineStr">
        <is>
          <t>- That aggregate can lag a 24-hour notice by several weeks. Spending reported by notice in the last month may not yet appear here.</t>
        </is>
      </c>
    </row>
    <row r="48" ht="24" customHeight="1">
      <c r="A48" s="32" t="inlineStr">
        <is>
          <t>- Candidates with no periodic report on file show blank fields, not $0. The FEC reports no figures for them, which is not the same as a confirmed zero.</t>
        </is>
      </c>
    </row>
    <row r="49" ht="48" customHeight="1">
      <c r="A4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0" ht="24" customHeight="1">
      <c r="A50" s="32" t="inlineStr">
        <is>
          <t>- 'Self-funding' is FEC's candidate_contribution: the candidate's own money given or loaned to the campaign this cycle.</t>
        </is>
      </c>
    </row>
  </sheetData>
  <mergeCells count="7">
    <mergeCell ref="A44:G44"/>
    <mergeCell ref="A50:G50"/>
    <mergeCell ref="A48:G48"/>
    <mergeCell ref="A49:G49"/>
    <mergeCell ref="A47:G47"/>
    <mergeCell ref="A45:G45"/>
    <mergeCell ref="A46:G46"/>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G74"/>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2026-09-17T21:05:12Z.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2" t="n">
        <v>10375</v>
      </c>
      <c r="C6" s="22">
        <f>IF(AND(ISNUMBER(B6),ISNUMBER(B22),B22&lt;&gt;0),B6/B22,"")</f>
        <v/>
      </c>
      <c r="D6" s="49" t="n">
        <v>12</v>
      </c>
      <c r="E6" s="42" t="n">
        <v>23204.28</v>
      </c>
      <c r="F6" s="22">
        <f>IF(AND(ISNUMBER(E6),ISNUMBER(E22),E22&lt;&gt;0),E6/E22,"")</f>
        <v/>
      </c>
      <c r="G6" s="49" t="n">
        <v>65</v>
      </c>
    </row>
    <row r="7">
      <c r="A7" s="14" t="inlineStr">
        <is>
          <t>Fundraising</t>
        </is>
      </c>
      <c r="B7" s="42" t="n">
        <v>105581.67</v>
      </c>
      <c r="C7" s="22">
        <f>IF(AND(ISNUMBER(B7),ISNUMBER(B22),B22&lt;&gt;0),B7/B22,"")</f>
        <v/>
      </c>
      <c r="D7" s="49" t="n">
        <v>169</v>
      </c>
      <c r="E7" s="42" t="n">
        <v>1017403.05</v>
      </c>
      <c r="F7" s="22">
        <f>IF(AND(ISNUMBER(E7),ISNUMBER(E22),E22&lt;&gt;0),E7/E22,"")</f>
        <v/>
      </c>
      <c r="G7" s="49" t="n">
        <v>508</v>
      </c>
    </row>
    <row r="8">
      <c r="A8" s="14" t="inlineStr">
        <is>
          <t>Television advertising</t>
        </is>
      </c>
      <c r="B8" s="42" t="n">
        <v>521229</v>
      </c>
      <c r="C8" s="22">
        <f>IF(AND(ISNUMBER(B8),ISNUMBER(B22),B22&lt;&gt;0),B8/B22,"")</f>
        <v/>
      </c>
      <c r="D8" s="49" t="n">
        <v>9</v>
      </c>
      <c r="E8" s="42" t="n">
        <v>0</v>
      </c>
      <c r="F8" s="22">
        <f>IF(AND(ISNUMBER(E8),ISNUMBER(E22),E22&lt;&gt;0),E8/E22,"")</f>
        <v/>
      </c>
      <c r="G8" s="49" t="n">
        <v>0</v>
      </c>
    </row>
    <row r="9">
      <c r="A9" s="14" t="inlineStr">
        <is>
          <t>Digital advertising</t>
        </is>
      </c>
      <c r="B9" s="42" t="n">
        <v>258938.16</v>
      </c>
      <c r="C9" s="22">
        <f>IF(AND(ISNUMBER(B9),ISNUMBER(B22),B22&lt;&gt;0),B9/B22,"")</f>
        <v/>
      </c>
      <c r="D9" s="49" t="n">
        <v>19</v>
      </c>
      <c r="E9" s="42" t="n">
        <v>2586</v>
      </c>
      <c r="F9" s="22">
        <f>IF(AND(ISNUMBER(E9),ISNUMBER(E22),E22&lt;&gt;0),E9/E22,"")</f>
        <v/>
      </c>
      <c r="G9" s="49" t="n">
        <v>2</v>
      </c>
    </row>
    <row r="10">
      <c r="A10" s="14" t="inlineStr">
        <is>
          <t>Media production</t>
        </is>
      </c>
      <c r="B10" s="42" t="n">
        <v>34156.56</v>
      </c>
      <c r="C10" s="22">
        <f>IF(AND(ISNUMBER(B10),ISNUMBER(B22),B22&lt;&gt;0),B10/B22,"")</f>
        <v/>
      </c>
      <c r="D10" s="49" t="n">
        <v>5</v>
      </c>
      <c r="E10" s="42" t="n">
        <v>11600</v>
      </c>
      <c r="F10" s="22">
        <f>IF(AND(ISNUMBER(E10),ISNUMBER(E22),E22&lt;&gt;0),E10/E22,"")</f>
        <v/>
      </c>
      <c r="G10" s="49" t="n">
        <v>4</v>
      </c>
    </row>
    <row r="11">
      <c r="A11" s="14" t="inlineStr">
        <is>
          <t>Polling and research</t>
        </is>
      </c>
      <c r="B11" s="42" t="n">
        <v>41005</v>
      </c>
      <c r="C11" s="22">
        <f>IF(AND(ISNUMBER(B11),ISNUMBER(B22),B22&lt;&gt;0),B11/B22,"")</f>
        <v/>
      </c>
      <c r="D11" s="49" t="n">
        <v>8</v>
      </c>
      <c r="E11" s="42" t="n">
        <v>41376.2</v>
      </c>
      <c r="F11" s="22">
        <f>IF(AND(ISNUMBER(E11),ISNUMBER(E22),E22&lt;&gt;0),E11/E22,"")</f>
        <v/>
      </c>
      <c r="G11" s="49" t="n">
        <v>19</v>
      </c>
    </row>
    <row r="12">
      <c r="A12" s="14" t="inlineStr">
        <is>
          <t>Staff and payroll</t>
        </is>
      </c>
      <c r="B12" s="42" t="n">
        <v>204066.98</v>
      </c>
      <c r="C12" s="22">
        <f>IF(AND(ISNUMBER(B12),ISNUMBER(B22),B22&lt;&gt;0),B12/B22,"")</f>
        <v/>
      </c>
      <c r="D12" s="49" t="n">
        <v>61</v>
      </c>
      <c r="E12" s="42" t="n">
        <v>3465</v>
      </c>
      <c r="F12" s="22">
        <f>IF(AND(ISNUMBER(E12),ISNUMBER(E22),E22&lt;&gt;0),E12/E22,"")</f>
        <v/>
      </c>
      <c r="G12" s="49" t="n">
        <v>2</v>
      </c>
    </row>
    <row r="13">
      <c r="A13" s="14" t="inlineStr">
        <is>
          <t>Field, phones and texting</t>
        </is>
      </c>
      <c r="B13" s="42" t="n">
        <v>49977.25</v>
      </c>
      <c r="C13" s="22">
        <f>IF(AND(ISNUMBER(B13),ISNUMBER(B22),B22&lt;&gt;0),B13/B22,"")</f>
        <v/>
      </c>
      <c r="D13" s="49" t="n">
        <v>16</v>
      </c>
      <c r="E13" s="42" t="n">
        <v>850</v>
      </c>
      <c r="F13" s="22">
        <f>IF(AND(ISNUMBER(E13),ISNUMBER(E22),E22&lt;&gt;0),E13/E22,"")</f>
        <v/>
      </c>
      <c r="G13" s="49" t="n">
        <v>1</v>
      </c>
    </row>
    <row r="14">
      <c r="A14" s="14" t="inlineStr">
        <is>
          <t>Office and administrative</t>
        </is>
      </c>
      <c r="B14" s="42" t="n">
        <v>94451.94</v>
      </c>
      <c r="C14" s="22">
        <f>IF(AND(ISNUMBER(B14),ISNUMBER(B22),B22&lt;&gt;0),B14/B22,"")</f>
        <v/>
      </c>
      <c r="D14" s="49" t="n">
        <v>48</v>
      </c>
      <c r="E14" s="42" t="n">
        <v>107158.6</v>
      </c>
      <c r="F14" s="22">
        <f>IF(AND(ISNUMBER(E14),ISNUMBER(E22),E22&lt;&gt;0),E14/E22,"")</f>
        <v/>
      </c>
      <c r="G14" s="49" t="n">
        <v>252</v>
      </c>
    </row>
    <row r="15">
      <c r="A15" s="14" t="inlineStr">
        <is>
          <t>Print and mail</t>
        </is>
      </c>
      <c r="B15" s="42" t="n">
        <v>22167.78</v>
      </c>
      <c r="C15" s="22">
        <f>IF(AND(ISNUMBER(B15),ISNUMBER(B22),B22&lt;&gt;0),B15/B22,"")</f>
        <v/>
      </c>
      <c r="D15" s="49" t="n">
        <v>15</v>
      </c>
      <c r="E15" s="42" t="n">
        <v>39488.46</v>
      </c>
      <c r="F15" s="22">
        <f>IF(AND(ISNUMBER(E15),ISNUMBER(E22),E22&lt;&gt;0),E15/E22,"")</f>
        <v/>
      </c>
      <c r="G15" s="49" t="n">
        <v>105</v>
      </c>
    </row>
    <row r="16">
      <c r="A16" s="14" t="inlineStr">
        <is>
          <t>Consulting</t>
        </is>
      </c>
      <c r="B16" s="42" t="n">
        <v>10000</v>
      </c>
      <c r="C16" s="22">
        <f>IF(AND(ISNUMBER(B16),ISNUMBER(B22),B22&lt;&gt;0),B16/B22,"")</f>
        <v/>
      </c>
      <c r="D16" s="49" t="n">
        <v>1</v>
      </c>
      <c r="E16" s="42" t="n">
        <v>98693</v>
      </c>
      <c r="F16" s="22">
        <f>IF(AND(ISNUMBER(E16),ISNUMBER(E22),E22&lt;&gt;0),E16/E22,"")</f>
        <v/>
      </c>
      <c r="G16" s="49" t="n">
        <v>51</v>
      </c>
    </row>
    <row r="17">
      <c r="A17" s="14" t="inlineStr">
        <is>
          <t>Signs and merchandise</t>
        </is>
      </c>
      <c r="B17" s="42" t="n">
        <v>750</v>
      </c>
      <c r="C17" s="22">
        <f>IF(AND(ISNUMBER(B17),ISNUMBER(B22),B22&lt;&gt;0),B17/B22,"")</f>
        <v/>
      </c>
      <c r="D17" s="49" t="n">
        <v>1</v>
      </c>
      <c r="E17" s="42" t="n">
        <v>24202.36</v>
      </c>
      <c r="F17" s="22">
        <f>IF(AND(ISNUMBER(E17),ISNUMBER(E22),E22&lt;&gt;0),E17/E22,"")</f>
        <v/>
      </c>
      <c r="G17" s="49" t="n">
        <v>12</v>
      </c>
    </row>
    <row r="18">
      <c r="A18" s="14" t="inlineStr">
        <is>
          <t>Travel</t>
        </is>
      </c>
      <c r="B18" s="42" t="n">
        <v>6186.67</v>
      </c>
      <c r="C18" s="22">
        <f>IF(AND(ISNUMBER(B18),ISNUMBER(B22),B22&lt;&gt;0),B18/B22,"")</f>
        <v/>
      </c>
      <c r="D18" s="49" t="n">
        <v>20</v>
      </c>
      <c r="E18" s="42" t="n">
        <v>36958.81</v>
      </c>
      <c r="F18" s="22">
        <f>IF(AND(ISNUMBER(E18),ISNUMBER(E22),E22&lt;&gt;0),E18/E22,"")</f>
        <v/>
      </c>
      <c r="G18" s="49" t="n">
        <v>91</v>
      </c>
    </row>
    <row r="19">
      <c r="A19" s="14" t="inlineStr">
        <is>
          <t>Events and meals</t>
        </is>
      </c>
      <c r="B19" s="42" t="n">
        <v>4117.43</v>
      </c>
      <c r="C19" s="22">
        <f>IF(AND(ISNUMBER(B19),ISNUMBER(B22),B22&lt;&gt;0),B19/B22,"")</f>
        <v/>
      </c>
      <c r="D19" s="49" t="n">
        <v>12</v>
      </c>
      <c r="E19" s="42" t="n">
        <v>57849.89</v>
      </c>
      <c r="F19" s="22">
        <f>IF(AND(ISNUMBER(E19),ISNUMBER(E22),E22&lt;&gt;0),E19/E22,"")</f>
        <v/>
      </c>
      <c r="G19" s="49" t="n">
        <v>140</v>
      </c>
    </row>
    <row r="20">
      <c r="A20" s="14" t="inlineStr">
        <is>
          <t>Contributions and donations</t>
        </is>
      </c>
      <c r="B20" s="42" t="n">
        <v>1333.76</v>
      </c>
      <c r="C20" s="22">
        <f>IF(AND(ISNUMBER(B20),ISNUMBER(B22),B22&lt;&gt;0),B20/B22,"")</f>
        <v/>
      </c>
      <c r="D20" s="49" t="n">
        <v>6</v>
      </c>
      <c r="E20" s="42" t="n">
        <v>22575</v>
      </c>
      <c r="F20" s="22">
        <f>IF(AND(ISNUMBER(E20),ISNUMBER(E22),E22&lt;&gt;0),E20/E22,"")</f>
        <v/>
      </c>
      <c r="G20" s="49" t="n">
        <v>9</v>
      </c>
    </row>
    <row r="21">
      <c r="A21" s="14" t="inlineStr">
        <is>
          <t>Other</t>
        </is>
      </c>
      <c r="B21" s="42" t="n">
        <v>4318.17</v>
      </c>
      <c r="C21" s="22">
        <f>IF(AND(ISNUMBER(B21),ISNUMBER(B22),B22&lt;&gt;0),B21/B22,"")</f>
        <v/>
      </c>
      <c r="D21" s="49" t="n">
        <v>2</v>
      </c>
      <c r="E21" s="42" t="n">
        <v>0</v>
      </c>
      <c r="F21" s="22">
        <f>IF(AND(ISNUMBER(E21),ISNUMBER(E22),E22&lt;&gt;0),E21/E22,"")</f>
        <v/>
      </c>
      <c r="G21" s="49" t="n">
        <v>0</v>
      </c>
    </row>
    <row r="22">
      <c r="A22" s="15" t="inlineStr">
        <is>
          <t>TOTAL itemized</t>
        </is>
      </c>
      <c r="B22" s="17">
        <f>SUM(B6:B21)</f>
        <v/>
      </c>
      <c r="C22" s="37">
        <f>IF(AND(ISNUMBER(B22),ISNUMBER(B22),B22&lt;&gt;0),B22/B22,"")</f>
        <v/>
      </c>
      <c r="D22" s="50">
        <f>SUM(D6:D21)</f>
        <v/>
      </c>
      <c r="E22" s="17">
        <f>SUM(E6:E21)</f>
        <v/>
      </c>
      <c r="F22" s="37">
        <f>IF(AND(ISNUMBER(E22),ISNUMBER(E22),E22&lt;&gt;0),E22/E22,"")</f>
        <v/>
      </c>
      <c r="G22" s="50">
        <f>SUM(G6:G21)</f>
        <v/>
      </c>
    </row>
    <row r="23">
      <c r="A23" s="38" t="inlineStr">
        <is>
          <t>Check: categories minus FEC itemized total (must be $0)</t>
        </is>
      </c>
      <c r="B23" s="39">
        <f>B22-1368655.37</f>
        <v/>
      </c>
      <c r="E23" s="39">
        <f>E22-1487410.65</f>
        <v/>
      </c>
    </row>
    <row r="25" ht="18" customHeight="1">
      <c r="A25" s="3" t="inlineStr">
        <is>
          <t>LARGEST PAYEES, BOB BROOKS (D)</t>
        </is>
      </c>
      <c r="B25" s="4" t="n"/>
      <c r="C25" s="4" t="n"/>
      <c r="D25" s="4" t="n"/>
      <c r="E25" s="4" t="n"/>
      <c r="F25" s="4" t="n"/>
      <c r="G25" s="4" t="n"/>
    </row>
    <row r="26" ht="32" customHeight="1">
      <c r="A26" s="10" t="inlineStr">
        <is>
          <t>Payee</t>
        </is>
      </c>
      <c r="B26" s="10" t="inlineStr">
        <is>
          <t>Amount</t>
        </is>
      </c>
      <c r="C26" s="10" t="inlineStr">
        <is>
          <t>Items</t>
        </is>
      </c>
      <c r="D26" s="10" t="inlineStr">
        <is>
          <t>City</t>
        </is>
      </c>
      <c r="E26" s="10" t="inlineStr">
        <is>
          <t>State</t>
        </is>
      </c>
      <c r="F26" s="10" t="inlineStr">
        <is>
          <t>Main category</t>
        </is>
      </c>
      <c r="G26" s="10" t="inlineStr"/>
    </row>
    <row r="27">
      <c r="A27" s="14" t="inlineStr">
        <is>
          <t>LC Media LLC</t>
        </is>
      </c>
      <c r="B27" s="42" t="n">
        <v>543229</v>
      </c>
      <c r="C27" s="51" t="n">
        <v>11</v>
      </c>
      <c r="D27" s="14" t="inlineStr">
        <is>
          <t>Huntingdon Valley</t>
        </is>
      </c>
      <c r="E27" s="14" t="inlineStr">
        <is>
          <t>PA</t>
        </is>
      </c>
      <c r="F27" s="14" t="inlineStr">
        <is>
          <t>Television advertising</t>
        </is>
      </c>
    </row>
    <row r="28">
      <c r="A28" s="14" t="inlineStr">
        <is>
          <t>Ascend Digital</t>
        </is>
      </c>
      <c r="B28" s="42" t="n">
        <v>203646.79</v>
      </c>
      <c r="C28" s="51" t="n">
        <v>7</v>
      </c>
      <c r="D28" s="14" t="inlineStr">
        <is>
          <t>Washington</t>
        </is>
      </c>
      <c r="E28" s="14" t="inlineStr">
        <is>
          <t>DC</t>
        </is>
      </c>
      <c r="F28" s="14" t="inlineStr">
        <is>
          <t>Digital advertising</t>
        </is>
      </c>
    </row>
    <row r="29">
      <c r="A29" s="14" t="inlineStr">
        <is>
          <t>Kaufman, Jenna</t>
        </is>
      </c>
      <c r="B29" s="42" t="n">
        <v>75187.39999999999</v>
      </c>
      <c r="C29" s="51" t="n">
        <v>16</v>
      </c>
      <c r="D29" s="14" t="inlineStr">
        <is>
          <t>Bethlehem</t>
        </is>
      </c>
      <c r="E29" s="14" t="inlineStr">
        <is>
          <t>PA</t>
        </is>
      </c>
      <c r="F29" s="14" t="inlineStr">
        <is>
          <t>Staff and payroll</t>
        </is>
      </c>
    </row>
    <row r="30">
      <c r="A30" s="14" t="inlineStr">
        <is>
          <t>Werner, Jack</t>
        </is>
      </c>
      <c r="B30" s="42" t="n">
        <v>58673.23</v>
      </c>
      <c r="C30" s="51" t="n">
        <v>17</v>
      </c>
      <c r="D30" s="14" t="inlineStr">
        <is>
          <t>Easton</t>
        </is>
      </c>
      <c r="E30" s="14" t="inlineStr">
        <is>
          <t>PA</t>
        </is>
      </c>
      <c r="F30" s="14" t="inlineStr">
        <is>
          <t>Staff and payroll</t>
        </is>
      </c>
    </row>
    <row r="31">
      <c r="A31" s="14" t="inlineStr">
        <is>
          <t>Paychex</t>
        </is>
      </c>
      <c r="B31" s="42" t="n">
        <v>54920.71</v>
      </c>
      <c r="C31" s="51" t="n">
        <v>35</v>
      </c>
      <c r="D31" s="14" t="inlineStr">
        <is>
          <t>Rochester</t>
        </is>
      </c>
      <c r="E31" s="14" t="inlineStr">
        <is>
          <t>NY</t>
        </is>
      </c>
      <c r="F31" s="14" t="inlineStr">
        <is>
          <t>Staff and payroll</t>
        </is>
      </c>
    </row>
    <row r="32">
      <c r="A32" s="14" t="inlineStr">
        <is>
          <t>Actblue Technical Services</t>
        </is>
      </c>
      <c r="B32" s="42" t="n">
        <v>54605.66</v>
      </c>
      <c r="C32" s="51" t="n">
        <v>76</v>
      </c>
      <c r="D32" s="14" t="inlineStr">
        <is>
          <t>West Somerville</t>
        </is>
      </c>
      <c r="E32" s="14" t="inlineStr">
        <is>
          <t>MA</t>
        </is>
      </c>
      <c r="F32" s="14" t="inlineStr">
        <is>
          <t>Fundraising</t>
        </is>
      </c>
    </row>
    <row r="33">
      <c r="A33" s="14" t="inlineStr">
        <is>
          <t>Arc Initiatives</t>
        </is>
      </c>
      <c r="B33" s="42" t="n">
        <v>35000</v>
      </c>
      <c r="C33" s="51" t="n">
        <v>7</v>
      </c>
      <c r="D33" s="14" t="inlineStr">
        <is>
          <t>Washington</t>
        </is>
      </c>
      <c r="E33" s="14" t="inlineStr">
        <is>
          <t>DC</t>
        </is>
      </c>
      <c r="F33" s="14" t="inlineStr">
        <is>
          <t>Polling and research</t>
        </is>
      </c>
    </row>
    <row r="34">
      <c r="A34" s="14" t="inlineStr">
        <is>
          <t>True Blue Digital</t>
        </is>
      </c>
      <c r="B34" s="42" t="n">
        <v>34817.13</v>
      </c>
      <c r="C34" s="51" t="n">
        <v>8</v>
      </c>
      <c r="D34" s="14" t="inlineStr">
        <is>
          <t>Chicago</t>
        </is>
      </c>
      <c r="E34" s="14" t="inlineStr">
        <is>
          <t>IL</t>
        </is>
      </c>
      <c r="F34" s="14" t="inlineStr">
        <is>
          <t>Digital advertising</t>
        </is>
      </c>
    </row>
    <row r="35">
      <c r="A35" s="14" t="inlineStr">
        <is>
          <t>NGP VAN</t>
        </is>
      </c>
      <c r="B35" s="42" t="n">
        <v>31749.04</v>
      </c>
      <c r="C35" s="51" t="n">
        <v>5</v>
      </c>
      <c r="D35" s="14" t="inlineStr">
        <is>
          <t>Austin</t>
        </is>
      </c>
      <c r="E35" s="14" t="inlineStr">
        <is>
          <t>TX</t>
        </is>
      </c>
      <c r="F35" s="14" t="inlineStr">
        <is>
          <t>Office and administrative</t>
        </is>
      </c>
    </row>
    <row r="36">
      <c r="A36" s="14" t="inlineStr">
        <is>
          <t>Cfo Compliance</t>
        </is>
      </c>
      <c r="B36" s="42" t="n">
        <v>26182.97</v>
      </c>
      <c r="C36" s="51" t="n">
        <v>9</v>
      </c>
      <c r="D36" s="14" t="inlineStr">
        <is>
          <t>Providence</t>
        </is>
      </c>
      <c r="E36" s="14" t="inlineStr">
        <is>
          <t>RI</t>
        </is>
      </c>
      <c r="F36" s="14" t="inlineStr">
        <is>
          <t>Office and administrative</t>
        </is>
      </c>
    </row>
    <row r="37">
      <c r="A37" s="14" t="inlineStr">
        <is>
          <t>Wrigley, John</t>
        </is>
      </c>
      <c r="B37" s="42" t="n">
        <v>22312</v>
      </c>
      <c r="C37" s="51" t="n">
        <v>8</v>
      </c>
      <c r="D37" s="14" t="inlineStr">
        <is>
          <t>Allentown</t>
        </is>
      </c>
      <c r="E37" s="14" t="inlineStr">
        <is>
          <t>PA</t>
        </is>
      </c>
      <c r="F37" s="14" t="inlineStr">
        <is>
          <t>Staff and payroll</t>
        </is>
      </c>
    </row>
    <row r="38">
      <c r="A38" s="14" t="inlineStr">
        <is>
          <t>Grassroots Analytics</t>
        </is>
      </c>
      <c r="B38" s="42" t="n">
        <v>17832.07</v>
      </c>
      <c r="C38" s="51" t="n">
        <v>12</v>
      </c>
      <c r="D38" s="14" t="inlineStr">
        <is>
          <t>Washington</t>
        </is>
      </c>
      <c r="E38" s="14" t="inlineStr">
        <is>
          <t>DC</t>
        </is>
      </c>
      <c r="F38" s="14" t="inlineStr">
        <is>
          <t>Fundraising</t>
        </is>
      </c>
    </row>
    <row r="39">
      <c r="A39" s="14" t="inlineStr">
        <is>
          <t>Mccoach, Jake</t>
        </is>
      </c>
      <c r="B39" s="42" t="n">
        <v>15000</v>
      </c>
      <c r="C39" s="51" t="n">
        <v>3</v>
      </c>
      <c r="D39" s="14" t="inlineStr">
        <is>
          <t>Freeport</t>
        </is>
      </c>
      <c r="E39" s="14" t="inlineStr">
        <is>
          <t>PA</t>
        </is>
      </c>
      <c r="F39" s="14" t="inlineStr">
        <is>
          <t>Field, phones and texting</t>
        </is>
      </c>
    </row>
    <row r="40">
      <c r="A40" s="14" t="inlineStr">
        <is>
          <t>SEIU Pennsylvania State Council</t>
        </is>
      </c>
      <c r="B40" s="42" t="n">
        <v>15000</v>
      </c>
      <c r="C40" s="51" t="n">
        <v>1</v>
      </c>
      <c r="D40" s="14" t="inlineStr">
        <is>
          <t>Harrisburg</t>
        </is>
      </c>
      <c r="E40" s="14" t="inlineStr">
        <is>
          <t>PA</t>
        </is>
      </c>
      <c r="F40" s="14" t="inlineStr">
        <is>
          <t>Field, phones and texting</t>
        </is>
      </c>
    </row>
    <row r="41">
      <c r="A41" s="14" t="inlineStr">
        <is>
          <t>South Street Digital</t>
        </is>
      </c>
      <c r="B41" s="42" t="n">
        <v>14003.2</v>
      </c>
      <c r="C41" s="51" t="n">
        <v>3</v>
      </c>
      <c r="D41" s="14" t="inlineStr">
        <is>
          <t>Philadelphia</t>
        </is>
      </c>
      <c r="E41" s="14" t="inlineStr">
        <is>
          <t>PA</t>
        </is>
      </c>
      <c r="F41" s="14" t="inlineStr">
        <is>
          <t>Digital advertising</t>
        </is>
      </c>
    </row>
    <row r="43" ht="18" customHeight="1">
      <c r="A43" s="3" t="inlineStr">
        <is>
          <t>LARGEST PAYEES, RYAN MACKENZIE (R)</t>
        </is>
      </c>
      <c r="B43" s="4" t="n"/>
      <c r="C43" s="4" t="n"/>
      <c r="D43" s="4" t="n"/>
      <c r="E43" s="4" t="n"/>
      <c r="F43" s="4" t="n"/>
      <c r="G43" s="4" t="n"/>
    </row>
    <row r="44" ht="32" customHeight="1">
      <c r="A44" s="10" t="inlineStr">
        <is>
          <t>Payee</t>
        </is>
      </c>
      <c r="B44" s="10" t="inlineStr">
        <is>
          <t>Amount</t>
        </is>
      </c>
      <c r="C44" s="10" t="inlineStr">
        <is>
          <t>Items</t>
        </is>
      </c>
      <c r="D44" s="10" t="inlineStr">
        <is>
          <t>City</t>
        </is>
      </c>
      <c r="E44" s="10" t="inlineStr">
        <is>
          <t>State</t>
        </is>
      </c>
      <c r="F44" s="10" t="inlineStr">
        <is>
          <t>Main category</t>
        </is>
      </c>
      <c r="G44" s="10" t="inlineStr"/>
    </row>
    <row r="45">
      <c r="A45" s="14" t="inlineStr">
        <is>
          <t>Frontline Strategies</t>
        </is>
      </c>
      <c r="B45" s="42" t="n">
        <v>332817.9</v>
      </c>
      <c r="C45" s="51" t="n">
        <v>107</v>
      </c>
      <c r="D45" s="14" t="inlineStr">
        <is>
          <t>Elgin</t>
        </is>
      </c>
      <c r="E45" s="14" t="inlineStr">
        <is>
          <t>IL</t>
        </is>
      </c>
      <c r="F45" s="14" t="inlineStr">
        <is>
          <t>Fundraising</t>
        </is>
      </c>
    </row>
    <row r="46">
      <c r="A46" s="14" t="inlineStr">
        <is>
          <t>District City Consulting</t>
        </is>
      </c>
      <c r="B46" s="42" t="n">
        <v>166301.16</v>
      </c>
      <c r="C46" s="51" t="n">
        <v>10</v>
      </c>
      <c r="D46" s="14" t="inlineStr">
        <is>
          <t>Washington</t>
        </is>
      </c>
      <c r="E46" s="14" t="inlineStr">
        <is>
          <t>DC</t>
        </is>
      </c>
      <c r="F46" s="14" t="inlineStr">
        <is>
          <t>Fundraising</t>
        </is>
      </c>
    </row>
    <row r="47">
      <c r="A47" s="14" t="inlineStr">
        <is>
          <t>Christy Consulting LLC</t>
        </is>
      </c>
      <c r="B47" s="42" t="n">
        <v>132892.75</v>
      </c>
      <c r="C47" s="51" t="n">
        <v>27</v>
      </c>
      <c r="D47" s="14" t="inlineStr">
        <is>
          <t>Philadelphia</t>
        </is>
      </c>
      <c r="E47" s="14" t="inlineStr">
        <is>
          <t>PA</t>
        </is>
      </c>
      <c r="F47" s="14" t="inlineStr">
        <is>
          <t>Fundraising</t>
        </is>
      </c>
    </row>
    <row r="48">
      <c r="A48" s="14" t="inlineStr">
        <is>
          <t>Fulfillment Solutions Inc.</t>
        </is>
      </c>
      <c r="B48" s="42" t="n">
        <v>74152.92</v>
      </c>
      <c r="C48" s="51" t="n">
        <v>31</v>
      </c>
      <c r="D48" s="14" t="inlineStr">
        <is>
          <t>Sterling</t>
        </is>
      </c>
      <c r="E48" s="14" t="inlineStr">
        <is>
          <t>VA</t>
        </is>
      </c>
      <c r="F48" s="14" t="inlineStr">
        <is>
          <t>Fundraising</t>
        </is>
      </c>
    </row>
    <row r="49">
      <c r="A49" s="14" t="inlineStr">
        <is>
          <t>Direct Mail Fundraising LLC</t>
        </is>
      </c>
      <c r="B49" s="42" t="n">
        <v>64451.03</v>
      </c>
      <c r="C49" s="51" t="n">
        <v>16</v>
      </c>
      <c r="D49" s="14" t="inlineStr">
        <is>
          <t>Ashburn</t>
        </is>
      </c>
      <c r="E49" s="14" t="inlineStr">
        <is>
          <t>VA</t>
        </is>
      </c>
      <c r="F49" s="14" t="inlineStr">
        <is>
          <t>Fundraising</t>
        </is>
      </c>
    </row>
    <row r="50">
      <c r="A50" s="14" t="inlineStr">
        <is>
          <t>Pathfinder Communications, LLC</t>
        </is>
      </c>
      <c r="B50" s="42" t="n">
        <v>52876.5</v>
      </c>
      <c r="C50" s="51" t="n">
        <v>15</v>
      </c>
      <c r="D50" s="14" t="inlineStr">
        <is>
          <t>Berwyn</t>
        </is>
      </c>
      <c r="E50" s="14" t="inlineStr">
        <is>
          <t>PA</t>
        </is>
      </c>
      <c r="F50" s="14" t="inlineStr">
        <is>
          <t>Consulting</t>
        </is>
      </c>
    </row>
    <row r="51">
      <c r="A51" s="14" t="inlineStr">
        <is>
          <t>Weller, Andres</t>
        </is>
      </c>
      <c r="B51" s="42" t="n">
        <v>43138.83</v>
      </c>
      <c r="C51" s="51" t="n">
        <v>28</v>
      </c>
      <c r="D51" s="14" t="inlineStr">
        <is>
          <t>Emmaus</t>
        </is>
      </c>
      <c r="E51" s="14" t="inlineStr">
        <is>
          <t>PA</t>
        </is>
      </c>
      <c r="F51" s="14" t="inlineStr">
        <is>
          <t>Consulting</t>
        </is>
      </c>
    </row>
    <row r="52">
      <c r="A52" s="14" t="inlineStr">
        <is>
          <t>Winred Technical Services, LLC</t>
        </is>
      </c>
      <c r="B52" s="42" t="n">
        <v>41412.94</v>
      </c>
      <c r="C52" s="51" t="n">
        <v>83</v>
      </c>
      <c r="D52" s="14" t="inlineStr">
        <is>
          <t>Cheyenne</t>
        </is>
      </c>
      <c r="E52" s="14" t="inlineStr">
        <is>
          <t>WY</t>
        </is>
      </c>
      <c r="F52" s="14" t="inlineStr">
        <is>
          <t>Fundraising</t>
        </is>
      </c>
    </row>
    <row r="53">
      <c r="A53" s="14" t="inlineStr">
        <is>
          <t>Elite Consulting</t>
        </is>
      </c>
      <c r="B53" s="42" t="n">
        <v>40643.9</v>
      </c>
      <c r="C53" s="51" t="n">
        <v>10</v>
      </c>
      <c r="D53" s="14" t="inlineStr">
        <is>
          <t>Washington</t>
        </is>
      </c>
      <c r="E53" s="14" t="inlineStr">
        <is>
          <t>DC</t>
        </is>
      </c>
      <c r="F53" s="14" t="inlineStr">
        <is>
          <t>Fundraising</t>
        </is>
      </c>
    </row>
    <row r="54">
      <c r="A54" s="14" t="inlineStr">
        <is>
          <t>The Tarrance Group</t>
        </is>
      </c>
      <c r="B54" s="42" t="n">
        <v>38124.5</v>
      </c>
      <c r="C54" s="51" t="n">
        <v>2</v>
      </c>
      <c r="D54" s="14" t="inlineStr">
        <is>
          <t>Alexandria</t>
        </is>
      </c>
      <c r="E54" s="14" t="inlineStr">
        <is>
          <t>VA</t>
        </is>
      </c>
      <c r="F54" s="14" t="inlineStr">
        <is>
          <t>Polling and research</t>
        </is>
      </c>
    </row>
    <row r="55">
      <c r="A55" s="14" t="inlineStr">
        <is>
          <t>Rightway Compliance LLC</t>
        </is>
      </c>
      <c r="B55" s="42" t="n">
        <v>36592.58</v>
      </c>
      <c r="C55" s="51" t="n">
        <v>18</v>
      </c>
      <c r="D55" s="14" t="inlineStr">
        <is>
          <t>Harrisburg</t>
        </is>
      </c>
      <c r="E55" s="14" t="inlineStr">
        <is>
          <t>PA</t>
        </is>
      </c>
      <c r="F55" s="14" t="inlineStr">
        <is>
          <t>Office and administrative</t>
        </is>
      </c>
    </row>
    <row r="56">
      <c r="A56" s="14" t="inlineStr">
        <is>
          <t>Managed By Equinox Inc</t>
        </is>
      </c>
      <c r="B56" s="42" t="n">
        <v>25875</v>
      </c>
      <c r="C56" s="51" t="n">
        <v>5</v>
      </c>
      <c r="D56" s="14" t="inlineStr">
        <is>
          <t>Bethlehem</t>
        </is>
      </c>
      <c r="E56" s="14" t="inlineStr">
        <is>
          <t>PA</t>
        </is>
      </c>
      <c r="F56" s="14" t="inlineStr">
        <is>
          <t>Office and administrative</t>
        </is>
      </c>
    </row>
    <row r="57">
      <c r="A57" s="14" t="inlineStr">
        <is>
          <t>Marriott Group</t>
        </is>
      </c>
      <c r="B57" s="42" t="n">
        <v>24000</v>
      </c>
      <c r="C57" s="51" t="n">
        <v>8</v>
      </c>
      <c r="D57" s="14" t="inlineStr">
        <is>
          <t>Leesburg</t>
        </is>
      </c>
      <c r="E57" s="14" t="inlineStr">
        <is>
          <t>VA</t>
        </is>
      </c>
      <c r="F57" s="14" t="inlineStr">
        <is>
          <t>Fundraising</t>
        </is>
      </c>
    </row>
    <row r="58">
      <c r="A58" s="14" t="inlineStr">
        <is>
          <t>Onpoint Data Strategy LLC</t>
        </is>
      </c>
      <c r="B58" s="42" t="n">
        <v>20586.36</v>
      </c>
      <c r="C58" s="51" t="n">
        <v>18</v>
      </c>
      <c r="D58" s="14" t="inlineStr">
        <is>
          <t>Ashburn</t>
        </is>
      </c>
      <c r="E58" s="14" t="inlineStr">
        <is>
          <t>VA</t>
        </is>
      </c>
      <c r="F58" s="14" t="inlineStr">
        <is>
          <t>Fundraising</t>
        </is>
      </c>
    </row>
    <row r="59">
      <c r="A59" s="14" t="inlineStr">
        <is>
          <t>Mackenzie, Ryan</t>
        </is>
      </c>
      <c r="B59" s="42" t="n">
        <v>20183.55</v>
      </c>
      <c r="C59" s="51" t="n">
        <v>36</v>
      </c>
      <c r="D59" s="14" t="inlineStr">
        <is>
          <t>Emmaus</t>
        </is>
      </c>
      <c r="E59" s="14" t="inlineStr">
        <is>
          <t>PA</t>
        </is>
      </c>
      <c r="F59" s="14" t="inlineStr">
        <is>
          <t>Travel</t>
        </is>
      </c>
    </row>
    <row r="61" ht="18" customHeight="1">
      <c r="A61" s="3" t="inlineStr">
        <is>
          <t>WHERE THE PAYEES ARE</t>
        </is>
      </c>
      <c r="B61" s="4" t="n"/>
      <c r="C61" s="4" t="n"/>
      <c r="D61" s="4" t="n"/>
      <c r="E61" s="4" t="n"/>
      <c r="F61" s="4" t="n"/>
      <c r="G61" s="4" t="n"/>
    </row>
    <row r="62" ht="32" customHeight="1">
      <c r="A62" s="10" t="inlineStr">
        <is>
          <t>Payee state</t>
        </is>
      </c>
      <c r="B62" s="10" t="inlineStr">
        <is>
          <t>Bob Brooks (D)</t>
        </is>
      </c>
      <c r="C62" s="10" t="inlineStr">
        <is>
          <t>Share</t>
        </is>
      </c>
      <c r="D62" s="10" t="inlineStr"/>
      <c r="E62" s="10" t="inlineStr">
        <is>
          <t>Ryan Mackenzie (R)</t>
        </is>
      </c>
      <c r="F62" s="10" t="inlineStr">
        <is>
          <t>Share</t>
        </is>
      </c>
      <c r="G62" s="10" t="inlineStr"/>
    </row>
    <row r="63">
      <c r="A63" s="14" t="inlineStr">
        <is>
          <t>PA</t>
        </is>
      </c>
      <c r="B63" s="42" t="n">
        <v>798926.02</v>
      </c>
      <c r="C63" s="22">
        <f>IF(AND(ISNUMBER(B63),ISNUMBER(B22),B22&lt;&gt;0),B63/B22,"")</f>
        <v/>
      </c>
      <c r="D63" s="52" t="n"/>
      <c r="E63" s="42" t="n">
        <v>459357.16</v>
      </c>
      <c r="F63" s="22">
        <f>IF(AND(ISNUMBER(E63),ISNUMBER(E22),E22&lt;&gt;0),E63/E22,"")</f>
        <v/>
      </c>
      <c r="G63" s="52" t="n"/>
    </row>
    <row r="64">
      <c r="A64" s="14" t="inlineStr">
        <is>
          <t>DC</t>
        </is>
      </c>
      <c r="B64" s="42" t="n">
        <v>274955.33</v>
      </c>
      <c r="C64" s="22">
        <f>IF(AND(ISNUMBER(B64),ISNUMBER(B22),B22&lt;&gt;0),B64/B22,"")</f>
        <v/>
      </c>
      <c r="D64" s="52" t="n"/>
      <c r="E64" s="42" t="n">
        <v>242504.01</v>
      </c>
      <c r="F64" s="22">
        <f>IF(AND(ISNUMBER(E64),ISNUMBER(E22),E22&lt;&gt;0),E64/E22,"")</f>
        <v/>
      </c>
      <c r="G64" s="52" t="n"/>
    </row>
    <row r="65">
      <c r="A65" s="14" t="inlineStr">
        <is>
          <t>IL</t>
        </is>
      </c>
      <c r="B65" s="42" t="n">
        <v>35315.53</v>
      </c>
      <c r="C65" s="22">
        <f>IF(AND(ISNUMBER(B65),ISNUMBER(B22),B22&lt;&gt;0),B65/B22,"")</f>
        <v/>
      </c>
      <c r="D65" s="52" t="n"/>
      <c r="E65" s="42" t="n">
        <v>335283.52</v>
      </c>
      <c r="F65" s="22">
        <f>IF(AND(ISNUMBER(E65),ISNUMBER(E22),E22&lt;&gt;0),E65/E22,"")</f>
        <v/>
      </c>
      <c r="G65" s="52" t="n"/>
    </row>
    <row r="66">
      <c r="A66" s="14" t="inlineStr">
        <is>
          <t>VA</t>
        </is>
      </c>
      <c r="B66" s="42" t="n">
        <v>1000</v>
      </c>
      <c r="C66" s="22">
        <f>IF(AND(ISNUMBER(B66),ISNUMBER(B22),B22&lt;&gt;0),B66/B22,"")</f>
        <v/>
      </c>
      <c r="D66" s="52" t="n"/>
      <c r="E66" s="42" t="n">
        <v>317942.8</v>
      </c>
      <c r="F66" s="22">
        <f>IF(AND(ISNUMBER(E66),ISNUMBER(E22),E22&lt;&gt;0),E66/E22,"")</f>
        <v/>
      </c>
      <c r="G66" s="52" t="n"/>
    </row>
    <row r="67">
      <c r="A67" s="14" t="inlineStr">
        <is>
          <t>NY</t>
        </is>
      </c>
      <c r="B67" s="42" t="n">
        <v>69953.94</v>
      </c>
      <c r="C67" s="22">
        <f>IF(AND(ISNUMBER(B67),ISNUMBER(B22),B22&lt;&gt;0),B67/B22,"")</f>
        <v/>
      </c>
      <c r="D67" s="52" t="n"/>
      <c r="E67" s="42" t="n">
        <v>17435.36</v>
      </c>
      <c r="F67" s="22">
        <f>IF(AND(ISNUMBER(E67),ISNUMBER(E22),E22&lt;&gt;0),E67/E22,"")</f>
        <v/>
      </c>
      <c r="G67" s="52" t="n"/>
    </row>
    <row r="68">
      <c r="A68" s="14" t="inlineStr">
        <is>
          <t>MA</t>
        </is>
      </c>
      <c r="B68" s="42" t="n">
        <v>57354.54</v>
      </c>
      <c r="C68" s="22">
        <f>IF(AND(ISNUMBER(B68),ISNUMBER(B22),B22&lt;&gt;0),B68/B22,"")</f>
        <v/>
      </c>
      <c r="D68" s="52" t="n"/>
      <c r="E68" s="42" t="n">
        <v>7613.56</v>
      </c>
      <c r="F68" s="22">
        <f>IF(AND(ISNUMBER(E68),ISNUMBER(E22),E22&lt;&gt;0),E68/E22,"")</f>
        <v/>
      </c>
      <c r="G68" s="52" t="n"/>
    </row>
    <row r="69">
      <c r="A69" s="14" t="inlineStr">
        <is>
          <t>CA</t>
        </is>
      </c>
      <c r="B69" s="42" t="n">
        <v>39080.7</v>
      </c>
      <c r="C69" s="22">
        <f>IF(AND(ISNUMBER(B69),ISNUMBER(B22),B22&lt;&gt;0),B69/B22,"")</f>
        <v/>
      </c>
      <c r="D69" s="52" t="n"/>
      <c r="E69" s="42" t="n">
        <v>15050.7</v>
      </c>
      <c r="F69" s="22">
        <f>IF(AND(ISNUMBER(E69),ISNUMBER(E22),E22&lt;&gt;0),E69/E22,"")</f>
        <v/>
      </c>
      <c r="G69" s="52" t="n"/>
    </row>
    <row r="70">
      <c r="A70" s="14" t="inlineStr">
        <is>
          <t>TX</t>
        </is>
      </c>
      <c r="B70" s="42" t="n">
        <v>32737.44</v>
      </c>
      <c r="C70" s="22">
        <f>IF(AND(ISNUMBER(B70),ISNUMBER(B22),B22&lt;&gt;0),B70/B22,"")</f>
        <v/>
      </c>
      <c r="D70" s="52" t="n"/>
      <c r="E70" s="42" t="n">
        <v>14439.86</v>
      </c>
      <c r="F70" s="22">
        <f>IF(AND(ISNUMBER(E70),ISNUMBER(E22),E22&lt;&gt;0),E70/E22,"")</f>
        <v/>
      </c>
      <c r="G70" s="52" t="n"/>
    </row>
    <row r="71">
      <c r="A71" s="14" t="inlineStr">
        <is>
          <t>All other</t>
        </is>
      </c>
      <c r="B71" s="42" t="n">
        <v>59331.87</v>
      </c>
      <c r="C71" s="22">
        <f>IF(AND(ISNUMBER(B71),ISNUMBER(B22),B22&lt;&gt;0),B71/B22,"")</f>
        <v/>
      </c>
      <c r="D71" s="52" t="n"/>
      <c r="E71" s="42" t="n">
        <v>77783.67999999999</v>
      </c>
      <c r="F71" s="22">
        <f>IF(AND(ISNUMBER(E71),ISNUMBER(E22),E22&lt;&gt;0),E71/E22,"")</f>
        <v/>
      </c>
      <c r="G71" s="52" t="n"/>
    </row>
    <row r="73" ht="36" customHeight="1">
      <c r="A73" s="32" t="inlineStr">
        <is>
          <t>- Spending categories are assigned from the description each campaign wrote on its report, using ordered keyword rules (classify.py). The FEC's own purpose field files more than half of this spending as OTHER.</t>
        </is>
      </c>
    </row>
    <row r="74" ht="24" customHeight="1">
      <c r="A74" s="32" t="inlineStr">
        <is>
          <t>- Memo sub-itemizations are excluded from spending, so the total equals FEC's by_purpose figure exactly.</t>
        </is>
      </c>
    </row>
  </sheetData>
  <mergeCells count="2">
    <mergeCell ref="A73:G73"/>
    <mergeCell ref="A74:G74"/>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2026-09-17T21:05:12Z.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2" t="n">
        <v>290329.06</v>
      </c>
      <c r="C6" s="22">
        <f>IF(AND(ISNUMBER(B6),ISNUMBER(B17),B17&lt;&gt;0),B6/B17,"")</f>
        <v/>
      </c>
      <c r="D6" s="49" t="n">
        <v>687</v>
      </c>
      <c r="E6" s="42" t="n">
        <v>705177.53</v>
      </c>
      <c r="F6" s="22">
        <f>IF(AND(ISNUMBER(E6),ISNUMBER(E17),E17&lt;&gt;0),E6/E17,"")</f>
        <v/>
      </c>
      <c r="G6" s="49" t="n">
        <v>1185</v>
      </c>
    </row>
    <row r="7">
      <c r="A7" s="14" t="inlineStr">
        <is>
          <t>FL</t>
        </is>
      </c>
      <c r="B7" s="42" t="n">
        <v>32808.59</v>
      </c>
      <c r="C7" s="22">
        <f>IF(AND(ISNUMBER(B7),ISNUMBER(B17),B17&lt;&gt;0),B7/B17,"")</f>
        <v/>
      </c>
      <c r="D7" s="49" t="n">
        <v>42</v>
      </c>
      <c r="E7" s="42" t="n">
        <v>498858.16</v>
      </c>
      <c r="F7" s="22">
        <f>IF(AND(ISNUMBER(E7),ISNUMBER(E17),E17&lt;&gt;0),E7/E17,"")</f>
        <v/>
      </c>
      <c r="G7" s="49" t="n">
        <v>1923</v>
      </c>
    </row>
    <row r="8">
      <c r="A8" s="14" t="inlineStr">
        <is>
          <t>NY</t>
        </is>
      </c>
      <c r="B8" s="42" t="n">
        <v>275445.73</v>
      </c>
      <c r="C8" s="22">
        <f>IF(AND(ISNUMBER(B8),ISNUMBER(B17),B17&lt;&gt;0),B8/B17,"")</f>
        <v/>
      </c>
      <c r="D8" s="49" t="n">
        <v>206</v>
      </c>
      <c r="E8" s="42" t="n">
        <v>219095.46</v>
      </c>
      <c r="F8" s="22">
        <f>IF(AND(ISNUMBER(E8),ISNUMBER(E17),E17&lt;&gt;0),E8/E17,"")</f>
        <v/>
      </c>
      <c r="G8" s="49" t="n">
        <v>420</v>
      </c>
    </row>
    <row r="9">
      <c r="A9" s="14" t="inlineStr">
        <is>
          <t>CA</t>
        </is>
      </c>
      <c r="B9" s="42" t="n">
        <v>232104.2</v>
      </c>
      <c r="C9" s="22">
        <f>IF(AND(ISNUMBER(B9),ISNUMBER(B17),B17&lt;&gt;0),B9/B17,"")</f>
        <v/>
      </c>
      <c r="D9" s="49" t="n">
        <v>317</v>
      </c>
      <c r="E9" s="42" t="n">
        <v>189336.51</v>
      </c>
      <c r="F9" s="22">
        <f>IF(AND(ISNUMBER(E9),ISNUMBER(E17),E17&lt;&gt;0),E9/E17,"")</f>
        <v/>
      </c>
      <c r="G9" s="49" t="n">
        <v>1371</v>
      </c>
    </row>
    <row r="10">
      <c r="A10" s="14" t="inlineStr">
        <is>
          <t>TX</t>
        </is>
      </c>
      <c r="B10" s="42" t="n">
        <v>16950</v>
      </c>
      <c r="C10" s="22">
        <f>IF(AND(ISNUMBER(B10),ISNUMBER(B17),B17&lt;&gt;0),B10/B17,"")</f>
        <v/>
      </c>
      <c r="D10" s="49" t="n">
        <v>14</v>
      </c>
      <c r="E10" s="42" t="n">
        <v>392044.34</v>
      </c>
      <c r="F10" s="22">
        <f>IF(AND(ISNUMBER(E10),ISNUMBER(E17),E17&lt;&gt;0),E10/E17,"")</f>
        <v/>
      </c>
      <c r="G10" s="49" t="n">
        <v>2187</v>
      </c>
    </row>
    <row r="11">
      <c r="A11" s="14" t="inlineStr">
        <is>
          <t>MA</t>
        </is>
      </c>
      <c r="B11" s="42" t="n">
        <v>162959.5</v>
      </c>
      <c r="C11" s="22">
        <f>IF(AND(ISNUMBER(B11),ISNUMBER(B17),B17&lt;&gt;0),B11/B17,"")</f>
        <v/>
      </c>
      <c r="D11" s="49" t="n">
        <v>254</v>
      </c>
      <c r="E11" s="42" t="n">
        <v>53894.65</v>
      </c>
      <c r="F11" s="22">
        <f>IF(AND(ISNUMBER(E11),ISNUMBER(E17),E17&lt;&gt;0),E11/E17,"")</f>
        <v/>
      </c>
      <c r="G11" s="49" t="n">
        <v>65</v>
      </c>
    </row>
    <row r="12">
      <c r="A12" s="14" t="inlineStr">
        <is>
          <t>IL</t>
        </is>
      </c>
      <c r="B12" s="42" t="n">
        <v>23197.32</v>
      </c>
      <c r="C12" s="22">
        <f>IF(AND(ISNUMBER(B12),ISNUMBER(B17),B17&lt;&gt;0),B12/B17,"")</f>
        <v/>
      </c>
      <c r="D12" s="49" t="n">
        <v>43</v>
      </c>
      <c r="E12" s="42" t="n">
        <v>82720.37</v>
      </c>
      <c r="F12" s="22">
        <f>IF(AND(ISNUMBER(E12),ISNUMBER(E17),E17&lt;&gt;0),E12/E17,"")</f>
        <v/>
      </c>
      <c r="G12" s="49" t="n">
        <v>404</v>
      </c>
    </row>
    <row r="13">
      <c r="A13" s="14" t="inlineStr">
        <is>
          <t>LA</t>
        </is>
      </c>
      <c r="B13" s="42" t="n">
        <v>0</v>
      </c>
      <c r="C13" s="22">
        <f>IF(AND(ISNUMBER(B13),ISNUMBER(B17),B17&lt;&gt;0),B13/B17,"")</f>
        <v/>
      </c>
      <c r="D13" s="49" t="n">
        <v>0</v>
      </c>
      <c r="E13" s="42" t="n">
        <v>96564.66</v>
      </c>
      <c r="F13" s="22">
        <f>IF(AND(ISNUMBER(E13),ISNUMBER(E17),E17&lt;&gt;0),E13/E17,"")</f>
        <v/>
      </c>
      <c r="G13" s="49" t="n">
        <v>230</v>
      </c>
    </row>
    <row r="14">
      <c r="A14" s="14" t="inlineStr">
        <is>
          <t>VA</t>
        </is>
      </c>
      <c r="B14" s="42" t="n">
        <v>14884.19</v>
      </c>
      <c r="C14" s="22">
        <f>IF(AND(ISNUMBER(B14),ISNUMBER(B17),B17&lt;&gt;0),B14/B17,"")</f>
        <v/>
      </c>
      <c r="D14" s="49" t="n">
        <v>72</v>
      </c>
      <c r="E14" s="42" t="n">
        <v>80077.28</v>
      </c>
      <c r="F14" s="22">
        <f>IF(AND(ISNUMBER(E14),ISNUMBER(E17),E17&lt;&gt;0),E14/E17,"")</f>
        <v/>
      </c>
      <c r="G14" s="49" t="n">
        <v>432</v>
      </c>
    </row>
    <row r="15">
      <c r="A15" s="14" t="inlineStr">
        <is>
          <t>CT</t>
        </is>
      </c>
      <c r="B15" s="42" t="n">
        <v>42688.16</v>
      </c>
      <c r="C15" s="22">
        <f>IF(AND(ISNUMBER(B15),ISNUMBER(B17),B17&lt;&gt;0),B15/B17,"")</f>
        <v/>
      </c>
      <c r="D15" s="49" t="n">
        <v>41</v>
      </c>
      <c r="E15" s="42" t="n">
        <v>38941.97</v>
      </c>
      <c r="F15" s="22">
        <f>IF(AND(ISNUMBER(E15),ISNUMBER(E17),E17&lt;&gt;0),E15/E17,"")</f>
        <v/>
      </c>
      <c r="G15" s="49" t="n">
        <v>98</v>
      </c>
    </row>
    <row r="16">
      <c r="A16" s="14" t="inlineStr">
        <is>
          <t>All other</t>
        </is>
      </c>
      <c r="B16" s="42" t="n">
        <v>270739.41</v>
      </c>
      <c r="C16" s="22">
        <f>IF(AND(ISNUMBER(B16),ISNUMBER(B17),B17&lt;&gt;0),B16/B17,"")</f>
        <v/>
      </c>
      <c r="D16" s="49" t="n">
        <v>473</v>
      </c>
      <c r="E16" s="42" t="n">
        <v>587844.14</v>
      </c>
      <c r="F16" s="22">
        <f>IF(AND(ISNUMBER(E16),ISNUMBER(E17),E17&lt;&gt;0),E16/E17,"")</f>
        <v/>
      </c>
      <c r="G16" s="49" t="n">
        <v>4931</v>
      </c>
    </row>
    <row r="17">
      <c r="A17" s="15" t="inlineStr">
        <is>
          <t>TOTAL itemized</t>
        </is>
      </c>
      <c r="B17" s="17">
        <f>SUM(B6:B16)</f>
        <v/>
      </c>
      <c r="C17" s="37">
        <f>IF(AND(ISNUMBER(B17),ISNUMBER(B17),B17&lt;&gt;0),B17/B17,"")</f>
        <v/>
      </c>
      <c r="D17" s="50">
        <f>SUM(D6:D16)</f>
        <v/>
      </c>
      <c r="E17" s="17">
        <f>SUM(E6:E16)</f>
        <v/>
      </c>
      <c r="F17" s="37">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2" t="n">
        <v>645126.5600000001</v>
      </c>
      <c r="C21" s="22">
        <f>IF(AND(ISNUMBER(B21),ISNUMBER(B26),B26&lt;&gt;0),B21/B26,"")</f>
        <v/>
      </c>
      <c r="D21" s="49" t="n"/>
      <c r="E21" s="42" t="n">
        <v>734290.36</v>
      </c>
      <c r="F21" s="22">
        <f>IF(AND(ISNUMBER(E21),ISNUMBER(E26),E26&lt;&gt;0),E21/E26,"")</f>
        <v/>
      </c>
      <c r="G21" s="49" t="n"/>
    </row>
    <row r="22">
      <c r="A22" s="14" t="inlineStr">
        <is>
          <t>$200.01 to $499.99</t>
        </is>
      </c>
      <c r="B22" s="42" t="n">
        <v>122396.32</v>
      </c>
      <c r="C22" s="22">
        <f>IF(AND(ISNUMBER(B22),ISNUMBER(B26),B26&lt;&gt;0),B22/B26,"")</f>
        <v/>
      </c>
      <c r="D22" s="49" t="n">
        <v>453</v>
      </c>
      <c r="E22" s="42" t="n">
        <v>101351.85</v>
      </c>
      <c r="F22" s="22">
        <f>IF(AND(ISNUMBER(E22),ISNUMBER(E26),E26&lt;&gt;0),E22/E26,"")</f>
        <v/>
      </c>
      <c r="G22" s="49" t="n">
        <v>372</v>
      </c>
    </row>
    <row r="23">
      <c r="A23" s="14" t="inlineStr">
        <is>
          <t>$500 to $999.99</t>
        </is>
      </c>
      <c r="B23" s="42" t="n">
        <v>151953.87</v>
      </c>
      <c r="C23" s="22">
        <f>IF(AND(ISNUMBER(B23),ISNUMBER(B26),B26&lt;&gt;0),B23/B26,"")</f>
        <v/>
      </c>
      <c r="D23" s="49" t="n">
        <v>292</v>
      </c>
      <c r="E23" s="42" t="n">
        <v>250771.82</v>
      </c>
      <c r="F23" s="22">
        <f>IF(AND(ISNUMBER(E23),ISNUMBER(E26),E26&lt;&gt;0),E23/E26,"")</f>
        <v/>
      </c>
      <c r="G23" s="49" t="n">
        <v>443</v>
      </c>
    </row>
    <row r="24">
      <c r="A24" s="14" t="inlineStr">
        <is>
          <t>$1,000 to $1,999.99</t>
        </is>
      </c>
      <c r="B24" s="42" t="n">
        <v>243422.46</v>
      </c>
      <c r="C24" s="22">
        <f>IF(AND(ISNUMBER(B24),ISNUMBER(B26),B26&lt;&gt;0),B24/B26,"")</f>
        <v/>
      </c>
      <c r="D24" s="49" t="n">
        <v>224</v>
      </c>
      <c r="E24" s="42" t="n">
        <v>598054.96</v>
      </c>
      <c r="F24" s="22">
        <f>IF(AND(ISNUMBER(E24),ISNUMBER(E26),E26&lt;&gt;0),E24/E26,"")</f>
        <v/>
      </c>
      <c r="G24" s="49" t="n">
        <v>482</v>
      </c>
    </row>
    <row r="25">
      <c r="A25" s="14" t="inlineStr">
        <is>
          <t>$2,000 and over</t>
        </is>
      </c>
      <c r="B25" s="42" t="n">
        <v>798593.73</v>
      </c>
      <c r="C25" s="22">
        <f>IF(AND(ISNUMBER(B25),ISNUMBER(B26),B26&lt;&gt;0),B25/B26,"")</f>
        <v/>
      </c>
      <c r="D25" s="49" t="n">
        <v>246</v>
      </c>
      <c r="E25" s="42" t="n">
        <v>1814220.05</v>
      </c>
      <c r="F25" s="22">
        <f>IF(AND(ISNUMBER(E25),ISNUMBER(E26),E26&lt;&gt;0),E25/E26,"")</f>
        <v/>
      </c>
      <c r="G25" s="49" t="n">
        <v>607</v>
      </c>
    </row>
    <row r="26">
      <c r="A26" s="15" t="inlineStr">
        <is>
          <t>TOTAL, all gifts</t>
        </is>
      </c>
      <c r="B26" s="17">
        <f>SUM(B21:B25)</f>
        <v/>
      </c>
      <c r="C26" s="37">
        <f>IF(AND(ISNUMBER(B26),ISNUMBER(B26),B26&lt;&gt;0),B26/B26,"")</f>
        <v/>
      </c>
      <c r="D26" s="20" t="n"/>
      <c r="E26" s="17">
        <f>SUM(E21:E25)</f>
        <v/>
      </c>
      <c r="F26" s="37">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2" t="n">
        <v>92671.33</v>
      </c>
      <c r="C31" s="22">
        <f>IF(AND(ISNUMBER(B31),ISNUMBER(B33),B33&lt;&gt;0),B31/B33,"")</f>
        <v/>
      </c>
      <c r="D31" s="52" t="n"/>
      <c r="E31" s="42" t="n">
        <v>395259.46</v>
      </c>
      <c r="F31" s="22">
        <f>IF(AND(ISNUMBER(E31),ISNUMBER(E33),E33&lt;&gt;0),E31/E33,"")</f>
        <v/>
      </c>
      <c r="G31" s="52" t="n"/>
    </row>
    <row r="32">
      <c r="A32" s="14" t="inlineStr">
        <is>
          <t>From everywhere else</t>
        </is>
      </c>
      <c r="B32" s="40">
        <f>IF(AND(ISNUMBER(B31),ISNUMBER(B33)),B33-B31,"")</f>
        <v/>
      </c>
      <c r="C32" s="22">
        <f>IF(AND(ISNUMBER(B32),ISNUMBER(B33),B33&lt;&gt;0),B32/B33,"")</f>
        <v/>
      </c>
      <c r="D32" s="52" t="n"/>
      <c r="E32" s="40">
        <f>IF(AND(ISNUMBER(E31),ISNUMBER(E33)),E33-E31,"")</f>
        <v/>
      </c>
      <c r="F32" s="22">
        <f>IF(AND(ISNUMBER(E32),ISNUMBER(E33),E33&lt;&gt;0),E32/E33,"")</f>
        <v/>
      </c>
      <c r="G32" s="52" t="n"/>
    </row>
    <row r="33">
      <c r="A33" s="15" t="inlineStr">
        <is>
          <t>TOTAL itemized, by zip</t>
        </is>
      </c>
      <c r="B33" s="53" t="n">
        <v>1362106.16</v>
      </c>
      <c r="C33" s="37">
        <f>IF(AND(ISNUMBER(B33),ISNUMBER(B33),B33&lt;&gt;0),B33/B33,"")</f>
        <v/>
      </c>
      <c r="D33" s="20" t="n"/>
      <c r="E33" s="53" t="n">
        <v>2944555.07</v>
      </c>
      <c r="F33" s="37">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2" t="n">
        <v>453408.96</v>
      </c>
      <c r="C38" s="49" t="n">
        <v>950</v>
      </c>
    </row>
    <row r="39">
      <c r="A39" s="14" t="inlineStr">
        <is>
          <t>Retired</t>
        </is>
      </c>
      <c r="B39" s="42" t="n">
        <v>112066.52</v>
      </c>
      <c r="C39" s="49" t="n">
        <v>121</v>
      </c>
    </row>
    <row r="40">
      <c r="A40" s="14" t="inlineStr">
        <is>
          <t>No Employer</t>
        </is>
      </c>
      <c r="B40" s="42" t="n">
        <v>98780.55</v>
      </c>
      <c r="C40" s="49" t="n">
        <v>118</v>
      </c>
    </row>
    <row r="41">
      <c r="A41" s="14" t="inlineStr">
        <is>
          <t>Attorney</t>
        </is>
      </c>
      <c r="B41" s="42" t="n">
        <v>58164.13</v>
      </c>
      <c r="C41" s="49" t="n">
        <v>77</v>
      </c>
    </row>
    <row r="42">
      <c r="A42" s="14" t="inlineStr">
        <is>
          <t>Ceo</t>
        </is>
      </c>
      <c r="B42" s="42" t="n">
        <v>44343.9</v>
      </c>
      <c r="C42" s="49" t="n">
        <v>21</v>
      </c>
    </row>
    <row r="43">
      <c r="A43" s="14" t="inlineStr">
        <is>
          <t>Physician</t>
        </is>
      </c>
      <c r="B43" s="42" t="n">
        <v>26135.41</v>
      </c>
      <c r="C43" s="49" t="n">
        <v>38</v>
      </c>
    </row>
    <row r="44">
      <c r="A44" s="14" t="inlineStr">
        <is>
          <t>Firefighter</t>
        </is>
      </c>
      <c r="B44" s="42" t="n">
        <v>25304</v>
      </c>
      <c r="C44" s="49" t="n">
        <v>86</v>
      </c>
    </row>
    <row r="45">
      <c r="A45" s="14" t="inlineStr">
        <is>
          <t>Consultant</t>
        </is>
      </c>
      <c r="B45" s="42" t="n">
        <v>25083.33</v>
      </c>
      <c r="C45" s="49" t="n">
        <v>53</v>
      </c>
    </row>
    <row r="46">
      <c r="A46" s="14" t="inlineStr">
        <is>
          <t>President</t>
        </is>
      </c>
      <c r="B46" s="42" t="n">
        <v>22300</v>
      </c>
      <c r="C46" s="49" t="n">
        <v>23</v>
      </c>
    </row>
    <row r="47">
      <c r="A47" s="14" t="inlineStr">
        <is>
          <t>Null</t>
        </is>
      </c>
      <c r="B47" s="42"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2" t="n">
        <v>757056.16</v>
      </c>
      <c r="C51" s="49" t="n">
        <v>10536</v>
      </c>
    </row>
    <row r="52">
      <c r="A52" s="14" t="inlineStr">
        <is>
          <t>Ceo</t>
        </is>
      </c>
      <c r="B52" s="42" t="n">
        <v>309337.13</v>
      </c>
      <c r="C52" s="49" t="n">
        <v>275</v>
      </c>
    </row>
    <row r="53">
      <c r="A53" s="14" t="inlineStr">
        <is>
          <t>Owner</t>
        </is>
      </c>
      <c r="B53" s="42" t="n">
        <v>169174.26</v>
      </c>
      <c r="C53" s="49" t="n">
        <v>142</v>
      </c>
    </row>
    <row r="54">
      <c r="A54" s="14" t="inlineStr">
        <is>
          <t>Chairman</t>
        </is>
      </c>
      <c r="B54" s="42" t="n">
        <v>126323.31</v>
      </c>
      <c r="C54" s="49" t="n">
        <v>75</v>
      </c>
    </row>
    <row r="55">
      <c r="A55" s="14" t="inlineStr">
        <is>
          <t>President</t>
        </is>
      </c>
      <c r="B55" s="42" t="n">
        <v>124651.54</v>
      </c>
      <c r="C55" s="49" t="n">
        <v>94</v>
      </c>
    </row>
    <row r="56">
      <c r="A56" s="14" t="inlineStr">
        <is>
          <t>Executive</t>
        </is>
      </c>
      <c r="B56" s="42" t="n">
        <v>107698.83</v>
      </c>
      <c r="C56" s="49" t="n">
        <v>71</v>
      </c>
    </row>
    <row r="57">
      <c r="A57" s="14" t="inlineStr">
        <is>
          <t>Founder</t>
        </is>
      </c>
      <c r="B57" s="42" t="n">
        <v>105830.87</v>
      </c>
      <c r="C57" s="49" t="n">
        <v>51</v>
      </c>
    </row>
    <row r="58">
      <c r="A58" s="14" t="inlineStr">
        <is>
          <t>Homemaker</t>
        </is>
      </c>
      <c r="B58" s="42" t="n">
        <v>76092.81</v>
      </c>
      <c r="C58" s="49" t="n">
        <v>49</v>
      </c>
    </row>
    <row r="59">
      <c r="A59" s="14" t="inlineStr">
        <is>
          <t>Investor</t>
        </is>
      </c>
      <c r="B59" s="42" t="n">
        <v>75497.97</v>
      </c>
      <c r="C59" s="49" t="n">
        <v>58</v>
      </c>
    </row>
    <row r="60">
      <c r="A60" s="14" t="inlineStr">
        <is>
          <t>Attorney</t>
        </is>
      </c>
      <c r="B60" s="42"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J115"/>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0">
        <f>SUMIFS($H$20:$H$113,$I$20:$I$113,A6)</f>
        <v/>
      </c>
      <c r="C6" s="22">
        <f>IFERROR(B6/$H$114,"")</f>
        <v/>
      </c>
      <c r="D6" s="54">
        <f>COUNTIFS($I$20:$I$113,A6)</f>
        <v/>
      </c>
    </row>
    <row r="7">
      <c r="A7" s="14" t="inlineStr">
        <is>
          <t>Radio</t>
        </is>
      </c>
      <c r="B7" s="40">
        <f>SUMIFS($H$20:$H$113,$I$20:$I$113,A7)</f>
        <v/>
      </c>
      <c r="C7" s="22">
        <f>IFERROR(B7/$H$114,"")</f>
        <v/>
      </c>
      <c r="D7" s="54">
        <f>COUNTIFS($I$20:$I$113,A7)</f>
        <v/>
      </c>
    </row>
    <row r="8">
      <c r="A8" s="14" t="inlineStr">
        <is>
          <t>Texting and phone calls</t>
        </is>
      </c>
      <c r="B8" s="40">
        <f>SUMIFS($H$20:$H$113,$I$20:$I$113,A8)</f>
        <v/>
      </c>
      <c r="C8" s="22">
        <f>IFERROR(B8/$H$114,"")</f>
        <v/>
      </c>
      <c r="D8" s="54">
        <f>COUNTIFS($I$20:$I$113,A8)</f>
        <v/>
      </c>
    </row>
    <row r="9">
      <c r="A9" s="14" t="inlineStr">
        <is>
          <t>Email</t>
        </is>
      </c>
      <c r="B9" s="40">
        <f>SUMIFS($H$20:$H$113,$I$20:$I$113,A9)</f>
        <v/>
      </c>
      <c r="C9" s="22">
        <f>IFERROR(B9/$H$114,"")</f>
        <v/>
      </c>
      <c r="D9" s="54">
        <f>COUNTIFS($I$20:$I$113,A9)</f>
        <v/>
      </c>
    </row>
    <row r="10">
      <c r="A10" s="14" t="inlineStr">
        <is>
          <t>Mail and print</t>
        </is>
      </c>
      <c r="B10" s="40">
        <f>SUMIFS($H$20:$H$113,$I$20:$I$113,A10)</f>
        <v/>
      </c>
      <c r="C10" s="22">
        <f>IFERROR(B10/$H$114,"")</f>
        <v/>
      </c>
      <c r="D10" s="54">
        <f>COUNTIFS($I$20:$I$113,A10)</f>
        <v/>
      </c>
    </row>
    <row r="11">
      <c r="A11" s="14" t="inlineStr">
        <is>
          <t>Canvassing and field</t>
        </is>
      </c>
      <c r="B11" s="40">
        <f>SUMIFS($H$20:$H$113,$I$20:$I$113,A11)</f>
        <v/>
      </c>
      <c r="C11" s="22">
        <f>IFERROR(B11/$H$114,"")</f>
        <v/>
      </c>
      <c r="D11" s="54">
        <f>COUNTIFS($I$20:$I$113,A11)</f>
        <v/>
      </c>
    </row>
    <row r="12">
      <c r="A12" s="14" t="inlineStr">
        <is>
          <t>Television and media buys</t>
        </is>
      </c>
      <c r="B12" s="40">
        <f>SUMIFS($H$20:$H$113,$I$20:$I$113,A12)</f>
        <v/>
      </c>
      <c r="C12" s="22">
        <f>IFERROR(B12/$H$114,"")</f>
        <v/>
      </c>
      <c r="D12" s="54">
        <f>COUNTIFS($I$20:$I$113,A12)</f>
        <v/>
      </c>
    </row>
    <row r="13">
      <c r="A13" s="14" t="inlineStr">
        <is>
          <t>Production</t>
        </is>
      </c>
      <c r="B13" s="40">
        <f>SUMIFS($H$20:$H$113,$I$20:$I$113,A13)</f>
        <v/>
      </c>
      <c r="C13" s="22">
        <f>IFERROR(B13/$H$114,"")</f>
        <v/>
      </c>
      <c r="D13" s="54">
        <f>COUNTIFS($I$20:$I$113,A13)</f>
        <v/>
      </c>
    </row>
    <row r="14">
      <c r="A14" s="14" t="inlineStr">
        <is>
          <t>Data</t>
        </is>
      </c>
      <c r="B14" s="40">
        <f>SUMIFS($H$20:$H$113,$I$20:$I$113,A14)</f>
        <v/>
      </c>
      <c r="C14" s="22">
        <f>IFERROR(B14/$H$114,"")</f>
        <v/>
      </c>
      <c r="D14" s="54">
        <f>COUNTIFS($I$20:$I$113,A14)</f>
        <v/>
      </c>
    </row>
    <row r="15">
      <c r="A15" s="15" t="inlineStr">
        <is>
          <t>TOTAL</t>
        </is>
      </c>
      <c r="B15" s="17">
        <f>SUM(B6:B14)</f>
        <v/>
      </c>
      <c r="C15" s="20" t="n"/>
      <c r="D15" s="50">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Stronger Together PA</t>
        </is>
      </c>
      <c r="B20" s="14" t="inlineStr">
        <is>
          <t>Bob Brooks</t>
        </is>
      </c>
      <c r="C20" s="46" t="inlineStr">
        <is>
          <t>Supports</t>
        </is>
      </c>
      <c r="D20" s="14" t="inlineStr">
        <is>
          <t>Ad Buy</t>
        </is>
      </c>
      <c r="E20" s="14" t="inlineStr">
        <is>
          <t>Technicolor Campaigns, LLC</t>
        </is>
      </c>
      <c r="F20" s="14" t="inlineStr">
        <is>
          <t>Philadelphia</t>
        </is>
      </c>
      <c r="G20" s="14" t="inlineStr">
        <is>
          <t>PA</t>
        </is>
      </c>
      <c r="H20" s="47" t="n">
        <v>306418</v>
      </c>
      <c r="I20" s="14" t="inlineStr">
        <is>
          <t>Television and media buys</t>
        </is>
      </c>
      <c r="J20" s="14" t="inlineStr">
        <is>
          <t>2026-05-05</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272247</v>
      </c>
      <c r="I21" s="14" t="inlineStr">
        <is>
          <t>Television and media buys</t>
        </is>
      </c>
      <c r="J21" s="14" t="inlineStr">
        <is>
          <t>2026-04-01</t>
        </is>
      </c>
    </row>
    <row r="22">
      <c r="A22" s="14" t="inlineStr">
        <is>
          <t>Jobs and Democracy PAC</t>
        </is>
      </c>
      <c r="B22" s="14" t="inlineStr">
        <is>
          <t>Bob Brooks</t>
        </is>
      </c>
      <c r="C22" s="46" t="inlineStr">
        <is>
          <t>Supports</t>
        </is>
      </c>
      <c r="D22" s="14" t="inlineStr">
        <is>
          <t>Digital Buy</t>
        </is>
      </c>
      <c r="E22" s="14" t="inlineStr">
        <is>
          <t>Bryson Gillette, LLC</t>
        </is>
      </c>
      <c r="F22" s="14" t="inlineStr">
        <is>
          <t>Santa Barbara</t>
        </is>
      </c>
      <c r="G22" s="14" t="inlineStr">
        <is>
          <t>CA</t>
        </is>
      </c>
      <c r="H22" s="47" t="n">
        <v>249750</v>
      </c>
      <c r="I22" s="14" t="inlineStr">
        <is>
          <t>Digital advertising</t>
        </is>
      </c>
      <c r="J22" s="14" t="inlineStr">
        <is>
          <t>2026-05-15</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175000</v>
      </c>
      <c r="I23" s="14" t="inlineStr">
        <is>
          <t>Television and media buys</t>
        </is>
      </c>
      <c r="J23" s="14" t="inlineStr">
        <is>
          <t>2026-05-13</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154509</v>
      </c>
      <c r="I24" s="14" t="inlineStr">
        <is>
          <t>Television and media buys</t>
        </is>
      </c>
      <c r="J24" s="14" t="inlineStr">
        <is>
          <t>2026-04-23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150000</v>
      </c>
      <c r="I25" s="14" t="inlineStr">
        <is>
          <t>Television and media buys</t>
        </is>
      </c>
      <c r="J25" s="14" t="inlineStr">
        <is>
          <t>2026-05-15</t>
        </is>
      </c>
    </row>
    <row r="26">
      <c r="A26" s="14" t="inlineStr">
        <is>
          <t>Congressional Progressive Caucus PAC</t>
        </is>
      </c>
      <c r="B26" s="14" t="inlineStr">
        <is>
          <t>Bob Brooks</t>
        </is>
      </c>
      <c r="C26" s="46" t="inlineStr">
        <is>
          <t>Supports</t>
        </is>
      </c>
      <c r="D26" s="14" t="inlineStr">
        <is>
          <t>Digital Ad Buy - Estimate</t>
        </is>
      </c>
      <c r="E26" s="14" t="inlineStr">
        <is>
          <t>Viewpoint Media LLC</t>
        </is>
      </c>
      <c r="F26" s="14" t="inlineStr">
        <is>
          <t>Berkeley</t>
        </is>
      </c>
      <c r="G26" s="14" t="inlineStr">
        <is>
          <t>CA</t>
        </is>
      </c>
      <c r="H26" s="47" t="n">
        <v>128000</v>
      </c>
      <c r="I26" s="14" t="inlineStr">
        <is>
          <t>Digital advertising</t>
        </is>
      </c>
      <c r="J26" s="14" t="inlineStr">
        <is>
          <t>2026-04-24</t>
        </is>
      </c>
    </row>
    <row r="27">
      <c r="A27" s="14" t="inlineStr">
        <is>
          <t>Stronger Together PA</t>
        </is>
      </c>
      <c r="B27" s="14" t="inlineStr">
        <is>
          <t>Bob Brooks</t>
        </is>
      </c>
      <c r="C27" s="46" t="inlineStr">
        <is>
          <t>Supports</t>
        </is>
      </c>
      <c r="D27" s="14" t="inlineStr">
        <is>
          <t>Ad Buy</t>
        </is>
      </c>
      <c r="E27" s="14" t="inlineStr">
        <is>
          <t>Technicolor Campaigns, LLC</t>
        </is>
      </c>
      <c r="F27" s="14" t="inlineStr">
        <is>
          <t>Philadelphia</t>
        </is>
      </c>
      <c r="G27" s="14" t="inlineStr">
        <is>
          <t>PA</t>
        </is>
      </c>
      <c r="H27" s="47" t="n">
        <v>110000</v>
      </c>
      <c r="I27" s="14" t="inlineStr">
        <is>
          <t>Television and media buys</t>
        </is>
      </c>
      <c r="J27" s="14" t="inlineStr">
        <is>
          <t>2026-05-15</t>
        </is>
      </c>
    </row>
    <row r="28">
      <c r="A28" s="14" t="inlineStr">
        <is>
          <t>Lead Left PAC</t>
        </is>
      </c>
      <c r="B28" s="14" t="inlineStr">
        <is>
          <t>Bob Brooks</t>
        </is>
      </c>
      <c r="C28" s="46" t="inlineStr">
        <is>
          <t>Opposes</t>
        </is>
      </c>
      <c r="D28" s="14" t="inlineStr">
        <is>
          <t>Media Placement / Media Production</t>
        </is>
      </c>
      <c r="E28" s="14" t="inlineStr">
        <is>
          <t>Otg Media LLC</t>
        </is>
      </c>
      <c r="F28" s="14" t="inlineStr">
        <is>
          <t>Richmond</t>
        </is>
      </c>
      <c r="G28" s="14" t="inlineStr">
        <is>
          <t>VA</t>
        </is>
      </c>
      <c r="H28" s="47" t="n">
        <v>106756.66</v>
      </c>
      <c r="I28" s="14" t="inlineStr">
        <is>
          <t>Television and media buys</t>
        </is>
      </c>
      <c r="J28" s="14" t="inlineStr">
        <is>
          <t>2026-05-05</t>
        </is>
      </c>
    </row>
    <row r="29">
      <c r="A29" s="14" t="inlineStr">
        <is>
          <t>Lead Left PAC</t>
        </is>
      </c>
      <c r="B29" s="14" t="inlineStr">
        <is>
          <t>Bob Brooks</t>
        </is>
      </c>
      <c r="C29" s="46" t="inlineStr">
        <is>
          <t>Opposes</t>
        </is>
      </c>
      <c r="D29" s="14" t="inlineStr">
        <is>
          <t>Media Placement</t>
        </is>
      </c>
      <c r="E29" s="14" t="inlineStr">
        <is>
          <t>Otg Media LLC</t>
        </is>
      </c>
      <c r="F29" s="14" t="inlineStr">
        <is>
          <t>Richmond</t>
        </is>
      </c>
      <c r="G29" s="14" t="inlineStr">
        <is>
          <t>VA</t>
        </is>
      </c>
      <c r="H29" s="47" t="n">
        <v>102333.33</v>
      </c>
      <c r="I29" s="14" t="inlineStr">
        <is>
          <t>Television and media buys</t>
        </is>
      </c>
      <c r="J29" s="14" t="inlineStr">
        <is>
          <t>2026-05-06</t>
        </is>
      </c>
    </row>
    <row r="30">
      <c r="A30" s="14" t="inlineStr">
        <is>
          <t>Medicare for All</t>
        </is>
      </c>
      <c r="B30" s="14" t="inlineStr">
        <is>
          <t>Bob Brooks</t>
        </is>
      </c>
      <c r="C30" s="46" t="inlineStr">
        <is>
          <t>Supports</t>
        </is>
      </c>
      <c r="D30" s="14" t="inlineStr">
        <is>
          <t>Digital Advertising Buy</t>
        </is>
      </c>
      <c r="E30" s="14" t="inlineStr">
        <is>
          <t>Viewpoint Media LLC</t>
        </is>
      </c>
      <c r="F30" s="14" t="inlineStr">
        <is>
          <t>Berkeley</t>
        </is>
      </c>
      <c r="G30" s="14" t="inlineStr">
        <is>
          <t>CA</t>
        </is>
      </c>
      <c r="H30" s="47" t="n">
        <v>95000</v>
      </c>
      <c r="I30" s="14" t="inlineStr">
        <is>
          <t>Digital advertising</t>
        </is>
      </c>
      <c r="J30" s="14" t="inlineStr">
        <is>
          <t>2026-05-12</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90000</v>
      </c>
      <c r="I31" s="14" t="inlineStr">
        <is>
          <t>Television and media buys</t>
        </is>
      </c>
      <c r="J31" s="14" t="inlineStr">
        <is>
          <t>2026-05-15</t>
        </is>
      </c>
    </row>
    <row r="32">
      <c r="A32" s="14" t="inlineStr">
        <is>
          <t>Stronger Together PA</t>
        </is>
      </c>
      <c r="B32" s="14" t="inlineStr">
        <is>
          <t>Bob Brooks</t>
        </is>
      </c>
      <c r="C32" s="46" t="inlineStr">
        <is>
          <t>Supports</t>
        </is>
      </c>
      <c r="D32" s="14" t="inlineStr">
        <is>
          <t>Ad Buy &amp; Ad Production</t>
        </is>
      </c>
      <c r="E32" s="14" t="inlineStr">
        <is>
          <t>Technicolor Campaigns, LLC</t>
        </is>
      </c>
      <c r="F32" s="14" t="inlineStr">
        <is>
          <t>Philadelphia</t>
        </is>
      </c>
      <c r="G32" s="14" t="inlineStr">
        <is>
          <t>PA</t>
        </is>
      </c>
      <c r="H32" s="47" t="n">
        <v>83120</v>
      </c>
      <c r="I32" s="14" t="inlineStr">
        <is>
          <t>Television and media buys</t>
        </is>
      </c>
      <c r="J32" s="14" t="inlineStr">
        <is>
          <t>2026-03-24</t>
        </is>
      </c>
    </row>
    <row r="33">
      <c r="A33" s="14" t="inlineStr">
        <is>
          <t>Stronger Together PA</t>
        </is>
      </c>
      <c r="B33" s="14" t="inlineStr">
        <is>
          <t>Bob Brooks</t>
        </is>
      </c>
      <c r="C33" s="46" t="inlineStr">
        <is>
          <t>Supports</t>
        </is>
      </c>
      <c r="D33" s="14" t="inlineStr">
        <is>
          <t>Ad Buy</t>
        </is>
      </c>
      <c r="E33" s="14" t="inlineStr">
        <is>
          <t>Technicolor Campaigns, LLC</t>
        </is>
      </c>
      <c r="F33" s="14" t="inlineStr">
        <is>
          <t>Philadelphia</t>
        </is>
      </c>
      <c r="G33" s="14" t="inlineStr">
        <is>
          <t>PA</t>
        </is>
      </c>
      <c r="H33" s="47" t="n">
        <v>80000</v>
      </c>
      <c r="I33" s="14" t="inlineStr">
        <is>
          <t>Television and media buys</t>
        </is>
      </c>
      <c r="J33" s="14" t="inlineStr">
        <is>
          <t>2026-05-12</t>
        </is>
      </c>
    </row>
    <row r="34">
      <c r="A34" s="14" t="inlineStr">
        <is>
          <t>Lead Left PAC</t>
        </is>
      </c>
      <c r="B34" s="14" t="inlineStr">
        <is>
          <t>Bob Brooks</t>
        </is>
      </c>
      <c r="C34" s="46" t="inlineStr">
        <is>
          <t>Opposes</t>
        </is>
      </c>
      <c r="D34" s="14" t="inlineStr">
        <is>
          <t>Media Placement / Media Production</t>
        </is>
      </c>
      <c r="E34" s="14" t="inlineStr">
        <is>
          <t>Piruzi LLC</t>
        </is>
      </c>
      <c r="F34" s="14" t="inlineStr">
        <is>
          <t>Pensacola</t>
        </is>
      </c>
      <c r="G34" s="14" t="inlineStr">
        <is>
          <t>FL</t>
        </is>
      </c>
      <c r="H34" s="47" t="n">
        <v>66666.67</v>
      </c>
      <c r="I34" s="14" t="inlineStr">
        <is>
          <t>Television and media buys</t>
        </is>
      </c>
      <c r="J34" s="14" t="inlineStr">
        <is>
          <t>2026-05-06</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52120</v>
      </c>
      <c r="I35" s="14" t="inlineStr">
        <is>
          <t>Television and media buys</t>
        </is>
      </c>
      <c r="J35" s="14" t="inlineStr">
        <is>
          <t>2026-03-27</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50500</v>
      </c>
      <c r="I36" s="14" t="inlineStr">
        <is>
          <t>Television and media buys</t>
        </is>
      </c>
      <c r="J36" s="14" t="inlineStr">
        <is>
          <t>2026-05-07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46000</v>
      </c>
      <c r="I37" s="14" t="inlineStr">
        <is>
          <t>Television and media buys</t>
        </is>
      </c>
      <c r="J37" s="14" t="inlineStr">
        <is>
          <t>2026-04-16</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45110</v>
      </c>
      <c r="I38" s="14" t="inlineStr">
        <is>
          <t>Television and media buys</t>
        </is>
      </c>
      <c r="J38" s="14" t="inlineStr">
        <is>
          <t>2026-03-30</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28000</v>
      </c>
      <c r="I39" s="14" t="inlineStr">
        <is>
          <t>Television and media buys</t>
        </is>
      </c>
      <c r="J39" s="14" t="inlineStr">
        <is>
          <t>2026-04-09</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28000</v>
      </c>
      <c r="I40" s="14" t="inlineStr">
        <is>
          <t>Television and media buys</t>
        </is>
      </c>
      <c r="J40" s="14" t="inlineStr">
        <is>
          <t>2026-04-02</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25500</v>
      </c>
      <c r="I41" s="14" t="inlineStr">
        <is>
          <t>Television and media buys</t>
        </is>
      </c>
      <c r="J41" s="14" t="inlineStr">
        <is>
          <t>2026-05-07</t>
        </is>
      </c>
    </row>
    <row r="42">
      <c r="A42" s="14" t="inlineStr">
        <is>
          <t>DLP PAC</t>
        </is>
      </c>
      <c r="B42" s="14" t="inlineStr">
        <is>
          <t>Bob Brooks</t>
        </is>
      </c>
      <c r="C42" s="46" t="inlineStr">
        <is>
          <t>Supports</t>
        </is>
      </c>
      <c r="D42" s="14" t="inlineStr">
        <is>
          <t>Printing and Postage</t>
        </is>
      </c>
      <c r="E42" s="14" t="inlineStr">
        <is>
          <t>Agmv Campaigns LLC</t>
        </is>
      </c>
      <c r="F42" s="14" t="inlineStr">
        <is>
          <t>Dover</t>
        </is>
      </c>
      <c r="G42" s="14" t="inlineStr">
        <is>
          <t>DE</t>
        </is>
      </c>
      <c r="H42" s="47" t="n">
        <v>25226.25</v>
      </c>
      <c r="I42" s="14" t="inlineStr">
        <is>
          <t>Mail and print</t>
        </is>
      </c>
      <c r="J42" s="14" t="inlineStr">
        <is>
          <t>2026-04-01</t>
        </is>
      </c>
    </row>
    <row r="43">
      <c r="A43" s="14" t="inlineStr">
        <is>
          <t>Stronger Together PA</t>
        </is>
      </c>
      <c r="B43" s="14" t="inlineStr">
        <is>
          <t>Bob Brooks</t>
        </is>
      </c>
      <c r="C43" s="46" t="inlineStr">
        <is>
          <t>Supports</t>
        </is>
      </c>
      <c r="D43" s="14" t="inlineStr">
        <is>
          <t>Texting</t>
        </is>
      </c>
      <c r="E43" s="14" t="inlineStr">
        <is>
          <t>Technicolor Campaigns, LLC</t>
        </is>
      </c>
      <c r="F43" s="14" t="inlineStr">
        <is>
          <t>Philadelphia</t>
        </is>
      </c>
      <c r="G43" s="14" t="inlineStr">
        <is>
          <t>PA</t>
        </is>
      </c>
      <c r="H43" s="47" t="n">
        <v>25000</v>
      </c>
      <c r="I43" s="14" t="inlineStr">
        <is>
          <t>Texting and phone calls</t>
        </is>
      </c>
      <c r="J43" s="14" t="inlineStr">
        <is>
          <t>2026-05-15</t>
        </is>
      </c>
    </row>
    <row r="44">
      <c r="A44" s="14" t="inlineStr">
        <is>
          <t>Stronger Together PA</t>
        </is>
      </c>
      <c r="B44" s="14" t="inlineStr">
        <is>
          <t>Bob Brooks</t>
        </is>
      </c>
      <c r="C44" s="46" t="inlineStr">
        <is>
          <t>Supports</t>
        </is>
      </c>
      <c r="D44" s="14" t="inlineStr">
        <is>
          <t>Ad Production</t>
        </is>
      </c>
      <c r="E44" s="14" t="inlineStr">
        <is>
          <t>Technicolor Campaigns, LLC</t>
        </is>
      </c>
      <c r="F44" s="14" t="inlineStr">
        <is>
          <t>Philadelphia</t>
        </is>
      </c>
      <c r="G44" s="14" t="inlineStr">
        <is>
          <t>PA</t>
        </is>
      </c>
      <c r="H44" s="47" t="n">
        <v>25000</v>
      </c>
      <c r="I44" s="14" t="inlineStr">
        <is>
          <t>Production</t>
        </is>
      </c>
      <c r="J44" s="14" t="inlineStr">
        <is>
          <t>2026-04-16</t>
        </is>
      </c>
    </row>
    <row r="45">
      <c r="A45" s="14" t="inlineStr">
        <is>
          <t>DLP PAC</t>
        </is>
      </c>
      <c r="B45" s="14" t="inlineStr">
        <is>
          <t>Bob Brooks</t>
        </is>
      </c>
      <c r="C45" s="46" t="inlineStr">
        <is>
          <t>Supports</t>
        </is>
      </c>
      <c r="D45" s="14" t="inlineStr">
        <is>
          <t>Printing and Postage</t>
        </is>
      </c>
      <c r="E45" s="14" t="inlineStr">
        <is>
          <t>Agmv Campaigns LLC</t>
        </is>
      </c>
      <c r="F45" s="14" t="inlineStr">
        <is>
          <t>Dover</t>
        </is>
      </c>
      <c r="G45" s="14" t="inlineStr">
        <is>
          <t>DE</t>
        </is>
      </c>
      <c r="H45" s="47" t="n">
        <v>23584.25</v>
      </c>
      <c r="I45" s="14" t="inlineStr">
        <is>
          <t>Mail and print</t>
        </is>
      </c>
      <c r="J45" s="14" t="inlineStr">
        <is>
          <t>2026-04-01</t>
        </is>
      </c>
    </row>
    <row r="46">
      <c r="A46" s="14" t="inlineStr">
        <is>
          <t>Stronger Together PA</t>
        </is>
      </c>
      <c r="B46" s="14" t="inlineStr">
        <is>
          <t>Bob Brooks</t>
        </is>
      </c>
      <c r="C46" s="46" t="inlineStr">
        <is>
          <t>Supports</t>
        </is>
      </c>
      <c r="D46" s="14" t="inlineStr">
        <is>
          <t>Texting</t>
        </is>
      </c>
      <c r="E46" s="14" t="inlineStr">
        <is>
          <t>Technicolor Campaigns, LLC</t>
        </is>
      </c>
      <c r="F46" s="14" t="inlineStr">
        <is>
          <t>Philadelphia</t>
        </is>
      </c>
      <c r="G46" s="14" t="inlineStr">
        <is>
          <t>PA</t>
        </is>
      </c>
      <c r="H46" s="47" t="n">
        <v>21000</v>
      </c>
      <c r="I46" s="14" t="inlineStr">
        <is>
          <t>Texting and phone calls</t>
        </is>
      </c>
      <c r="J46" s="14" t="inlineStr">
        <is>
          <t>2026-05-13</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19755.5</v>
      </c>
      <c r="I47" s="14" t="inlineStr">
        <is>
          <t>Mail and print</t>
        </is>
      </c>
      <c r="J47" s="14" t="inlineStr">
        <is>
          <t>2026-04-30</t>
        </is>
      </c>
    </row>
    <row r="48">
      <c r="A48" s="14" t="inlineStr">
        <is>
          <t>DLP PAC</t>
        </is>
      </c>
      <c r="B48" s="14" t="inlineStr">
        <is>
          <t>Bob Brooks</t>
        </is>
      </c>
      <c r="C48" s="46" t="inlineStr">
        <is>
          <t>Supports</t>
        </is>
      </c>
      <c r="D48" s="14" t="inlineStr">
        <is>
          <t>Printing and Postage</t>
        </is>
      </c>
      <c r="E48" s="14" t="inlineStr">
        <is>
          <t>Agmv Campaigns LLC</t>
        </is>
      </c>
      <c r="F48" s="14" t="inlineStr">
        <is>
          <t>Dover</t>
        </is>
      </c>
      <c r="G48" s="14" t="inlineStr">
        <is>
          <t>DE</t>
        </is>
      </c>
      <c r="H48" s="47" t="n">
        <v>19755.5</v>
      </c>
      <c r="I48" s="14" t="inlineStr">
        <is>
          <t>Mail and print</t>
        </is>
      </c>
      <c r="J48" s="14" t="inlineStr">
        <is>
          <t>2026-04-22</t>
        </is>
      </c>
    </row>
    <row r="49">
      <c r="A49" s="14" t="inlineStr">
        <is>
          <t>Congressional Progressive Caucus PAC</t>
        </is>
      </c>
      <c r="B49" s="14" t="inlineStr">
        <is>
          <t>Bob Brooks</t>
        </is>
      </c>
      <c r="C49" s="46" t="inlineStr">
        <is>
          <t>Supports</t>
        </is>
      </c>
      <c r="D49" s="14" t="inlineStr">
        <is>
          <t>Digital Ad Production - Actual Amount of Estimate Previously Reported 04/29/2026</t>
        </is>
      </c>
      <c r="E49" s="14" t="inlineStr">
        <is>
          <t>Silversmith Strategies LLC</t>
        </is>
      </c>
      <c r="F49" s="14" t="inlineStr">
        <is>
          <t>Chicago</t>
        </is>
      </c>
      <c r="G49" s="14" t="inlineStr">
        <is>
          <t>IL</t>
        </is>
      </c>
      <c r="H49" s="47" t="n">
        <v>12300</v>
      </c>
      <c r="I49" s="14" t="inlineStr">
        <is>
          <t>Digital advertising</t>
        </is>
      </c>
      <c r="J49" s="14" t="inlineStr">
        <is>
          <t>2026-04-30</t>
        </is>
      </c>
    </row>
    <row r="50">
      <c r="A50" s="14" t="inlineStr">
        <is>
          <t>Make the Road Action Political Committee</t>
        </is>
      </c>
      <c r="B50" s="14" t="inlineStr">
        <is>
          <t>Bob Brooks</t>
        </is>
      </c>
      <c r="C50" s="46" t="inlineStr">
        <is>
          <t>Supports</t>
        </is>
      </c>
      <c r="D50" s="14" t="inlineStr">
        <is>
          <t>Canvassing Services (corresponding Memo on 24/48 Can Not Be Deleted in Fecfile)</t>
        </is>
      </c>
      <c r="E50" s="14" t="inlineStr">
        <is>
          <t>Make the Road Action Inc.</t>
        </is>
      </c>
      <c r="F50" s="14" t="inlineStr">
        <is>
          <t>Brooklyn</t>
        </is>
      </c>
      <c r="G50" s="14" t="inlineStr">
        <is>
          <t>NY</t>
        </is>
      </c>
      <c r="H50" s="47" t="n">
        <v>12062</v>
      </c>
      <c r="I50" s="14" t="inlineStr">
        <is>
          <t>Canvassing and field</t>
        </is>
      </c>
      <c r="J50" s="14" t="inlineStr">
        <is>
          <t>2026-06-01</t>
        </is>
      </c>
    </row>
    <row r="51">
      <c r="A51" s="14" t="inlineStr">
        <is>
          <t>Blue Majority Project</t>
        </is>
      </c>
      <c r="B51" s="14" t="inlineStr">
        <is>
          <t>Bob Brooks</t>
        </is>
      </c>
      <c r="C51" s="46" t="inlineStr">
        <is>
          <t>Supports</t>
        </is>
      </c>
      <c r="D51" s="14" t="inlineStr">
        <is>
          <t>Non-contribution Accout: Text Messages</t>
        </is>
      </c>
      <c r="E51" s="14" t="inlineStr">
        <is>
          <t>Activate Change LLC</t>
        </is>
      </c>
      <c r="F51" s="14" t="inlineStr">
        <is>
          <t>Dover</t>
        </is>
      </c>
      <c r="G51" s="14" t="inlineStr">
        <is>
          <t>DE</t>
        </is>
      </c>
      <c r="H51" s="47" t="n">
        <v>11510</v>
      </c>
      <c r="I51" s="14" t="inlineStr">
        <is>
          <t>Texting and phone calls</t>
        </is>
      </c>
      <c r="J51" s="14" t="inlineStr">
        <is>
          <t>2025-12-21</t>
        </is>
      </c>
    </row>
    <row r="52">
      <c r="A52" s="14" t="inlineStr">
        <is>
          <t>Stronger Together PA</t>
        </is>
      </c>
      <c r="B52" s="14" t="inlineStr">
        <is>
          <t>Bob Brooks</t>
        </is>
      </c>
      <c r="C52" s="46" t="inlineStr">
        <is>
          <t>Supports</t>
        </is>
      </c>
      <c r="D52" s="14" t="inlineStr">
        <is>
          <t>Ad Buy</t>
        </is>
      </c>
      <c r="E52" s="14" t="inlineStr">
        <is>
          <t>Technicolor Campaigns, LLC</t>
        </is>
      </c>
      <c r="F52" s="14" t="inlineStr">
        <is>
          <t>Philadelphia</t>
        </is>
      </c>
      <c r="G52" s="14" t="inlineStr">
        <is>
          <t>PA</t>
        </is>
      </c>
      <c r="H52" s="47" t="n">
        <v>10000</v>
      </c>
      <c r="I52" s="14" t="inlineStr">
        <is>
          <t>Television and media buys</t>
        </is>
      </c>
      <c r="J52" s="14" t="inlineStr">
        <is>
          <t>2026-05-08</t>
        </is>
      </c>
    </row>
    <row r="53">
      <c r="A53" s="14" t="inlineStr">
        <is>
          <t>Lead Left PAC</t>
        </is>
      </c>
      <c r="B53" s="14" t="inlineStr">
        <is>
          <t>Bob Brooks</t>
        </is>
      </c>
      <c r="C53" s="46" t="inlineStr">
        <is>
          <t>Opposes</t>
        </is>
      </c>
      <c r="D53" s="14" t="inlineStr">
        <is>
          <t>Printing / Postage</t>
        </is>
      </c>
      <c r="E53" s="14" t="inlineStr">
        <is>
          <t>Piruzi LLC</t>
        </is>
      </c>
      <c r="F53" s="14" t="inlineStr">
        <is>
          <t>Pensacola</t>
        </is>
      </c>
      <c r="G53" s="14" t="inlineStr">
        <is>
          <t>FL</t>
        </is>
      </c>
      <c r="H53" s="47" t="n">
        <v>9161.42</v>
      </c>
      <c r="I53" s="14" t="inlineStr">
        <is>
          <t>Mail and print</t>
        </is>
      </c>
      <c r="J53" s="14" t="inlineStr">
        <is>
          <t>2026-05-18</t>
        </is>
      </c>
    </row>
    <row r="54">
      <c r="A54" s="14" t="inlineStr">
        <is>
          <t>Lead Left PAC</t>
        </is>
      </c>
      <c r="B54" s="14" t="inlineStr">
        <is>
          <t>Bob Brooks</t>
        </is>
      </c>
      <c r="C54" s="46" t="inlineStr">
        <is>
          <t>Opposes</t>
        </is>
      </c>
      <c r="D54" s="14" t="inlineStr">
        <is>
          <t>Printing / Postage</t>
        </is>
      </c>
      <c r="E54" s="14" t="inlineStr">
        <is>
          <t>Piruzi LLC</t>
        </is>
      </c>
      <c r="F54" s="14" t="inlineStr">
        <is>
          <t>Pensacola</t>
        </is>
      </c>
      <c r="G54" s="14" t="inlineStr">
        <is>
          <t>FL</t>
        </is>
      </c>
      <c r="H54" s="47" t="n">
        <v>9154.690000000001</v>
      </c>
      <c r="I54" s="14" t="inlineStr">
        <is>
          <t>Mail and print</t>
        </is>
      </c>
      <c r="J54" s="14" t="inlineStr">
        <is>
          <t>2026-05-07</t>
        </is>
      </c>
    </row>
    <row r="55">
      <c r="A55" s="14" t="inlineStr">
        <is>
          <t>Lead Left PAC</t>
        </is>
      </c>
      <c r="B55" s="14" t="inlineStr">
        <is>
          <t>Bob Brooks</t>
        </is>
      </c>
      <c r="C55" s="46" t="inlineStr">
        <is>
          <t>Opposes</t>
        </is>
      </c>
      <c r="D55" s="14" t="inlineStr">
        <is>
          <t>Printing / Postage</t>
        </is>
      </c>
      <c r="E55" s="14" t="inlineStr">
        <is>
          <t>Piruzi LLC</t>
        </is>
      </c>
      <c r="F55" s="14" t="inlineStr">
        <is>
          <t>Pensacola</t>
        </is>
      </c>
      <c r="G55" s="14" t="inlineStr">
        <is>
          <t>FL</t>
        </is>
      </c>
      <c r="H55" s="47" t="n">
        <v>9153.559999999999</v>
      </c>
      <c r="I55" s="14" t="inlineStr">
        <is>
          <t>Mail and print</t>
        </is>
      </c>
      <c r="J55" s="14" t="inlineStr">
        <is>
          <t>2026-05-07</t>
        </is>
      </c>
    </row>
    <row r="56">
      <c r="A56" s="14" t="inlineStr">
        <is>
          <t>Lead Left PAC</t>
        </is>
      </c>
      <c r="B56" s="14" t="inlineStr">
        <is>
          <t>Bob Brooks</t>
        </is>
      </c>
      <c r="C56" s="46" t="inlineStr">
        <is>
          <t>Opposes</t>
        </is>
      </c>
      <c r="D56" s="14" t="inlineStr">
        <is>
          <t>Printing / Postage</t>
        </is>
      </c>
      <c r="E56" s="14" t="inlineStr">
        <is>
          <t>Piruzi LLC</t>
        </is>
      </c>
      <c r="F56" s="14" t="inlineStr">
        <is>
          <t>Pensacola</t>
        </is>
      </c>
      <c r="G56" s="14" t="inlineStr">
        <is>
          <t>FL</t>
        </is>
      </c>
      <c r="H56" s="47" t="n">
        <v>9145.43</v>
      </c>
      <c r="I56" s="14" t="inlineStr">
        <is>
          <t>Mail and print</t>
        </is>
      </c>
      <c r="J56" s="14" t="inlineStr">
        <is>
          <t>2026-05-13</t>
        </is>
      </c>
    </row>
    <row r="57">
      <c r="A57" s="14" t="inlineStr">
        <is>
          <t>Blue Battleground Project</t>
        </is>
      </c>
      <c r="B57" s="14" t="inlineStr">
        <is>
          <t>Bob Brooks</t>
        </is>
      </c>
      <c r="C57" s="46" t="inlineStr">
        <is>
          <t>Supports</t>
        </is>
      </c>
      <c r="D57" s="14" t="inlineStr">
        <is>
          <t>Text Messages</t>
        </is>
      </c>
      <c r="E57" s="14" t="inlineStr">
        <is>
          <t>Activate Change LLC</t>
        </is>
      </c>
      <c r="F57" s="14" t="inlineStr">
        <is>
          <t>Dover</t>
        </is>
      </c>
      <c r="G57" s="14" t="inlineStr">
        <is>
          <t>DE</t>
        </is>
      </c>
      <c r="H57" s="47" t="n">
        <v>9116.67</v>
      </c>
      <c r="I57" s="14" t="inlineStr">
        <is>
          <t>Texting and phone calls</t>
        </is>
      </c>
      <c r="J57" s="14" t="inlineStr">
        <is>
          <t>2026-02-24</t>
        </is>
      </c>
    </row>
    <row r="58">
      <c r="A58" s="14" t="inlineStr">
        <is>
          <t>Make the Road Action Political Committee</t>
        </is>
      </c>
      <c r="B58" s="14" t="inlineStr">
        <is>
          <t>Bob Brooks</t>
        </is>
      </c>
      <c r="C58" s="46" t="inlineStr">
        <is>
          <t>Supports</t>
        </is>
      </c>
      <c r="D58" s="14" t="inlineStr">
        <is>
          <t>Canvassing Services (corresponding Memo on 24/48 Can Not Be Deleted in Fecfile)</t>
        </is>
      </c>
      <c r="E58" s="14" t="inlineStr">
        <is>
          <t>Make the Road Action Inc.</t>
        </is>
      </c>
      <c r="F58" s="14" t="inlineStr">
        <is>
          <t>Brooklyn</t>
        </is>
      </c>
      <c r="G58" s="14" t="inlineStr">
        <is>
          <t>NY</t>
        </is>
      </c>
      <c r="H58" s="47" t="n">
        <v>6405</v>
      </c>
      <c r="I58" s="14" t="inlineStr">
        <is>
          <t>Canvassing and field</t>
        </is>
      </c>
      <c r="J58" s="14" t="inlineStr">
        <is>
          <t>2026-04-17</t>
        </is>
      </c>
    </row>
    <row r="59">
      <c r="A59" s="14" t="inlineStr">
        <is>
          <t>Youth Save Democracy PAC</t>
        </is>
      </c>
      <c r="B59" s="14" t="inlineStr">
        <is>
          <t>Ryan Mackenzie</t>
        </is>
      </c>
      <c r="C59" s="46" t="inlineStr">
        <is>
          <t>Opposes</t>
        </is>
      </c>
      <c r="D59" s="14" t="inlineStr">
        <is>
          <t>Printing and Postage</t>
        </is>
      </c>
      <c r="E59" s="14" t="inlineStr">
        <is>
          <t>Civitech, Pbc</t>
        </is>
      </c>
      <c r="F59" s="14" t="inlineStr">
        <is>
          <t>San Antonio</t>
        </is>
      </c>
      <c r="G59" s="14" t="inlineStr">
        <is>
          <t>TX</t>
        </is>
      </c>
      <c r="H59" s="47" t="n">
        <v>6044</v>
      </c>
      <c r="I59" s="14" t="inlineStr">
        <is>
          <t>Mail and print</t>
        </is>
      </c>
      <c r="J59" s="14" t="inlineStr">
        <is>
          <t>2025-04-14</t>
        </is>
      </c>
    </row>
    <row r="60">
      <c r="A60" s="14" t="inlineStr">
        <is>
          <t>Medicare for All</t>
        </is>
      </c>
      <c r="B60" s="14" t="inlineStr">
        <is>
          <t>Bob Brooks</t>
        </is>
      </c>
      <c r="C60" s="46" t="inlineStr">
        <is>
          <t>Supports</t>
        </is>
      </c>
      <c r="D60" s="14" t="inlineStr">
        <is>
          <t>Digital Advertising Production -actual Cost</t>
        </is>
      </c>
      <c r="E60" s="14" t="inlineStr">
        <is>
          <t>Silversmith Strategies, LLC</t>
        </is>
      </c>
      <c r="F60" s="14" t="inlineStr">
        <is>
          <t>Chicago</t>
        </is>
      </c>
      <c r="G60" s="14" t="inlineStr">
        <is>
          <t>IL</t>
        </is>
      </c>
      <c r="H60" s="47" t="n">
        <v>4625</v>
      </c>
      <c r="I60" s="14" t="inlineStr">
        <is>
          <t>Digital advertising</t>
        </is>
      </c>
      <c r="J60" s="14" t="inlineStr">
        <is>
          <t>2026-05-18</t>
        </is>
      </c>
    </row>
    <row r="61">
      <c r="A61" s="14" t="inlineStr">
        <is>
          <t>Blue Majority Project</t>
        </is>
      </c>
      <c r="B61" s="14" t="inlineStr">
        <is>
          <t>Bob Brooks</t>
        </is>
      </c>
      <c r="C61" s="46" t="inlineStr">
        <is>
          <t>Supports</t>
        </is>
      </c>
      <c r="D61" s="14" t="inlineStr">
        <is>
          <t>Non-contribution Accout: Text Messages</t>
        </is>
      </c>
      <c r="E61" s="14" t="inlineStr">
        <is>
          <t>Activate Change LLC</t>
        </is>
      </c>
      <c r="F61" s="14" t="inlineStr">
        <is>
          <t>Dover</t>
        </is>
      </c>
      <c r="G61" s="14" t="inlineStr">
        <is>
          <t>DE</t>
        </is>
      </c>
      <c r="H61" s="47" t="n">
        <v>4250</v>
      </c>
      <c r="I61" s="14" t="inlineStr">
        <is>
          <t>Texting and phone calls</t>
        </is>
      </c>
      <c r="J61" s="14" t="inlineStr">
        <is>
          <t>2025-10-29</t>
        </is>
      </c>
    </row>
    <row r="62">
      <c r="A62" s="14" t="inlineStr">
        <is>
          <t>Stronger Together PA</t>
        </is>
      </c>
      <c r="B62" s="14" t="inlineStr">
        <is>
          <t>Bob Brooks</t>
        </is>
      </c>
      <c r="C62" s="46" t="inlineStr">
        <is>
          <t>Supports</t>
        </is>
      </c>
      <c r="D62" s="14" t="inlineStr">
        <is>
          <t>Ad Buy</t>
        </is>
      </c>
      <c r="E62" s="14" t="inlineStr">
        <is>
          <t>Technicolor Campaigns, LLC</t>
        </is>
      </c>
      <c r="F62" s="14" t="inlineStr">
        <is>
          <t>Philadelphia</t>
        </is>
      </c>
      <c r="G62" s="14" t="inlineStr">
        <is>
          <t>PA</t>
        </is>
      </c>
      <c r="H62" s="47" t="n">
        <v>4000</v>
      </c>
      <c r="I62" s="14" t="inlineStr">
        <is>
          <t>Television and media buys</t>
        </is>
      </c>
      <c r="J62" s="14" t="inlineStr">
        <is>
          <t>2026-05-13</t>
        </is>
      </c>
    </row>
    <row r="63">
      <c r="A63" s="14" t="inlineStr">
        <is>
          <t>Majority Blue PAC</t>
        </is>
      </c>
      <c r="B63" s="14" t="inlineStr">
        <is>
          <t>Bob Brooks</t>
        </is>
      </c>
      <c r="C63" s="46" t="inlineStr">
        <is>
          <t>Supports</t>
        </is>
      </c>
      <c r="D63" s="14" t="inlineStr">
        <is>
          <t>Text Messages</t>
        </is>
      </c>
      <c r="E63" s="14" t="inlineStr">
        <is>
          <t>Activate Change LLC</t>
        </is>
      </c>
      <c r="F63" s="14" t="inlineStr">
        <is>
          <t>Dover</t>
        </is>
      </c>
      <c r="G63" s="14" t="inlineStr">
        <is>
          <t>DE</t>
        </is>
      </c>
      <c r="H63" s="47" t="n">
        <v>3766.66</v>
      </c>
      <c r="I63" s="14" t="inlineStr">
        <is>
          <t>Texting and phone calls</t>
        </is>
      </c>
      <c r="J63" s="14" t="inlineStr">
        <is>
          <t>2026-06-22</t>
        </is>
      </c>
    </row>
    <row r="64">
      <c r="A64" s="14" t="inlineStr">
        <is>
          <t>Blue Shift PAC</t>
        </is>
      </c>
      <c r="B64" s="14" t="inlineStr">
        <is>
          <t>Bob Brooks</t>
        </is>
      </c>
      <c r="C64" s="46" t="inlineStr">
        <is>
          <t>Supports</t>
        </is>
      </c>
      <c r="D64" s="14" t="inlineStr">
        <is>
          <t>Text Messages</t>
        </is>
      </c>
      <c r="E64" s="14" t="inlineStr">
        <is>
          <t>Activate Change LLC</t>
        </is>
      </c>
      <c r="F64" s="14" t="inlineStr">
        <is>
          <t>Dover</t>
        </is>
      </c>
      <c r="G64" s="14" t="inlineStr">
        <is>
          <t>DE</t>
        </is>
      </c>
      <c r="H64" s="47" t="n">
        <v>3625</v>
      </c>
      <c r="I64" s="14" t="inlineStr">
        <is>
          <t>Texting and phone calls</t>
        </is>
      </c>
      <c r="J64" s="14" t="inlineStr">
        <is>
          <t>2026-06-22</t>
        </is>
      </c>
    </row>
    <row r="65">
      <c r="A65" s="14" t="inlineStr">
        <is>
          <t>Working Families Party PAC</t>
        </is>
      </c>
      <c r="B65" s="14" t="inlineStr">
        <is>
          <t>Bob Brooks</t>
        </is>
      </c>
      <c r="C65" s="46" t="inlineStr">
        <is>
          <t>Supports</t>
        </is>
      </c>
      <c r="D65" s="14" t="inlineStr">
        <is>
          <t>Printing</t>
        </is>
      </c>
      <c r="E65" s="14" t="inlineStr">
        <is>
          <t>Minuteman Press of Philadelphia</t>
        </is>
      </c>
      <c r="F65" s="14" t="inlineStr">
        <is>
          <t>Philadelphia</t>
        </is>
      </c>
      <c r="G65" s="14" t="inlineStr">
        <is>
          <t>PA</t>
        </is>
      </c>
      <c r="H65" s="47" t="n">
        <v>3556.19</v>
      </c>
      <c r="I65" s="14" t="inlineStr">
        <is>
          <t>Mail and print</t>
        </is>
      </c>
      <c r="J65" s="14" t="inlineStr">
        <is>
          <t>2026-05-18</t>
        </is>
      </c>
    </row>
    <row r="66">
      <c r="A66" s="14" t="inlineStr">
        <is>
          <t>FF PAC</t>
        </is>
      </c>
      <c r="B66" s="14" t="inlineStr">
        <is>
          <t>Bob Brooks</t>
        </is>
      </c>
      <c r="C66" s="46" t="inlineStr">
        <is>
          <t>Supports</t>
        </is>
      </c>
      <c r="D66" s="14" t="inlineStr">
        <is>
          <t>Media Buy and Ad Servicing</t>
        </is>
      </c>
      <c r="E66" s="14" t="inlineStr">
        <is>
          <t>Bully Pulpit International</t>
        </is>
      </c>
      <c r="F66" s="14" t="inlineStr">
        <is>
          <t>Washington</t>
        </is>
      </c>
      <c r="G66" s="14" t="inlineStr">
        <is>
          <t>DC</t>
        </is>
      </c>
      <c r="H66" s="47" t="n">
        <v>3300</v>
      </c>
      <c r="I66" s="14" t="inlineStr">
        <is>
          <t>Television and media buys</t>
        </is>
      </c>
      <c r="J66" s="14" t="inlineStr">
        <is>
          <t>2026-05-18</t>
        </is>
      </c>
    </row>
    <row r="67">
      <c r="A67" s="14" t="inlineStr">
        <is>
          <t>Make the Road Action Political Committee</t>
        </is>
      </c>
      <c r="B67" s="14" t="inlineStr">
        <is>
          <t>Bob Brooks</t>
        </is>
      </c>
      <c r="C67" s="46" t="inlineStr">
        <is>
          <t>Supports</t>
        </is>
      </c>
      <c r="D67" s="14" t="inlineStr">
        <is>
          <t>Canvassing Services (corresponding Memo on 24/48 Can Not Be Deleted in Fecfile)</t>
        </is>
      </c>
      <c r="E67" s="14" t="inlineStr">
        <is>
          <t>Make the Road Action Inc.</t>
        </is>
      </c>
      <c r="F67" s="14" t="inlineStr">
        <is>
          <t>Brooklyn</t>
        </is>
      </c>
      <c r="G67" s="14" t="inlineStr">
        <is>
          <t>NY</t>
        </is>
      </c>
      <c r="H67" s="47" t="n">
        <v>3160.5</v>
      </c>
      <c r="I67" s="14" t="inlineStr">
        <is>
          <t>Canvassing and field</t>
        </is>
      </c>
      <c r="J67" s="14" t="inlineStr">
        <is>
          <t>2026-04-04</t>
        </is>
      </c>
    </row>
    <row r="68">
      <c r="A68" s="14" t="inlineStr">
        <is>
          <t>Make the Road Action Political Committee</t>
        </is>
      </c>
      <c r="B68" s="14" t="inlineStr">
        <is>
          <t>Bob Brooks</t>
        </is>
      </c>
      <c r="C68" s="46" t="inlineStr">
        <is>
          <t>Supports</t>
        </is>
      </c>
      <c r="D68" s="14" t="inlineStr">
        <is>
          <t>Canvassing Services (corresponding Memo on 24/48 Can Not Be Deleted in Fecfile)</t>
        </is>
      </c>
      <c r="E68" s="14" t="inlineStr">
        <is>
          <t>Make the Road Action Inc.</t>
        </is>
      </c>
      <c r="F68" s="14" t="inlineStr">
        <is>
          <t>Brooklyn</t>
        </is>
      </c>
      <c r="G68" s="14" t="inlineStr">
        <is>
          <t>NY</t>
        </is>
      </c>
      <c r="H68" s="47" t="n">
        <v>3118.5</v>
      </c>
      <c r="I68" s="14" t="inlineStr">
        <is>
          <t>Canvassing and field</t>
        </is>
      </c>
      <c r="J68" s="14" t="inlineStr">
        <is>
          <t>2026-04-10</t>
        </is>
      </c>
    </row>
    <row r="69">
      <c r="A69" s="14" t="inlineStr">
        <is>
          <t>Make the Road Action Political Committee</t>
        </is>
      </c>
      <c r="B69" s="14" t="inlineStr">
        <is>
          <t>Bob Brooks</t>
        </is>
      </c>
      <c r="C69" s="46"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7" t="n">
        <v>2940</v>
      </c>
      <c r="I69" s="14" t="inlineStr">
        <is>
          <t>Canvassing and field</t>
        </is>
      </c>
      <c r="J69" s="14" t="inlineStr">
        <is>
          <t>2026-06-01</t>
        </is>
      </c>
    </row>
    <row r="70">
      <c r="A70" s="14" t="inlineStr">
        <is>
          <t>Kitchen Table Values PAC</t>
        </is>
      </c>
      <c r="B70" s="14" t="inlineStr">
        <is>
          <t>Bob Brooks</t>
        </is>
      </c>
      <c r="C70" s="46" t="inlineStr">
        <is>
          <t>Opposes</t>
        </is>
      </c>
      <c r="D70" s="14" t="inlineStr">
        <is>
          <t>Radio Ad</t>
        </is>
      </c>
      <c r="E70" s="14" t="inlineStr">
        <is>
          <t>Vp Broadcasting LLC</t>
        </is>
      </c>
      <c r="F70" s="14" t="inlineStr">
        <is>
          <t>Allentown</t>
        </is>
      </c>
      <c r="G70" s="14" t="inlineStr">
        <is>
          <t>PA</t>
        </is>
      </c>
      <c r="H70" s="47" t="n">
        <v>2040</v>
      </c>
      <c r="I70" s="14" t="inlineStr">
        <is>
          <t>Radio</t>
        </is>
      </c>
      <c r="J70" s="14" t="inlineStr">
        <is>
          <t>2026-05-11</t>
        </is>
      </c>
    </row>
    <row r="71">
      <c r="A71" s="14" t="inlineStr">
        <is>
          <t>Kitchen Table Values PAC</t>
        </is>
      </c>
      <c r="B71" s="14" t="inlineStr">
        <is>
          <t>Bob Brooks</t>
        </is>
      </c>
      <c r="C71" s="46" t="inlineStr">
        <is>
          <t>Opposes</t>
        </is>
      </c>
      <c r="D71" s="14" t="inlineStr">
        <is>
          <t>Texts</t>
        </is>
      </c>
      <c r="E71" s="14" t="inlineStr">
        <is>
          <t>Stephen Barron</t>
        </is>
      </c>
      <c r="F71" s="14" t="inlineStr">
        <is>
          <t>Bethlehem</t>
        </is>
      </c>
      <c r="G71" s="14" t="inlineStr">
        <is>
          <t>PA</t>
        </is>
      </c>
      <c r="H71" s="47" t="n">
        <v>1700</v>
      </c>
      <c r="I71" s="14" t="inlineStr">
        <is>
          <t>Texting and phone calls</t>
        </is>
      </c>
      <c r="J71" s="14" t="inlineStr">
        <is>
          <t>2026-05-05</t>
        </is>
      </c>
    </row>
    <row r="72">
      <c r="A72" s="14" t="inlineStr">
        <is>
          <t>Kitchen Table Values PAC</t>
        </is>
      </c>
      <c r="B72" s="14" t="inlineStr">
        <is>
          <t>Bob Brooks</t>
        </is>
      </c>
      <c r="C72" s="46" t="inlineStr">
        <is>
          <t>Opposes</t>
        </is>
      </c>
      <c r="D72" s="14" t="inlineStr">
        <is>
          <t>Texts</t>
        </is>
      </c>
      <c r="E72" s="14" t="inlineStr">
        <is>
          <t>Stephen Barron</t>
        </is>
      </c>
      <c r="F72" s="14" t="inlineStr">
        <is>
          <t>Bethlehem</t>
        </is>
      </c>
      <c r="G72" s="14" t="inlineStr">
        <is>
          <t>PA</t>
        </is>
      </c>
      <c r="H72" s="47" t="n">
        <v>1700</v>
      </c>
      <c r="I72" s="14" t="inlineStr">
        <is>
          <t>Texting and phone calls</t>
        </is>
      </c>
      <c r="J72" s="14" t="inlineStr">
        <is>
          <t>2026-04-29</t>
        </is>
      </c>
    </row>
    <row r="73">
      <c r="A73" s="14" t="inlineStr">
        <is>
          <t>Kitchen Table Values PAC</t>
        </is>
      </c>
      <c r="B73" s="14" t="inlineStr">
        <is>
          <t>Bob Brooks</t>
        </is>
      </c>
      <c r="C73" s="46" t="inlineStr">
        <is>
          <t>Opposes</t>
        </is>
      </c>
      <c r="D73" s="14" t="inlineStr">
        <is>
          <t>Texts</t>
        </is>
      </c>
      <c r="E73" s="14" t="inlineStr">
        <is>
          <t>Stephen Barron</t>
        </is>
      </c>
      <c r="F73" s="14" t="inlineStr">
        <is>
          <t>Bethlehem</t>
        </is>
      </c>
      <c r="G73" s="14" t="inlineStr">
        <is>
          <t>PA</t>
        </is>
      </c>
      <c r="H73" s="47" t="n">
        <v>1700</v>
      </c>
      <c r="I73" s="14" t="inlineStr">
        <is>
          <t>Texting and phone calls</t>
        </is>
      </c>
      <c r="J73" s="14" t="inlineStr">
        <is>
          <t>2026-04-29</t>
        </is>
      </c>
    </row>
    <row r="74">
      <c r="A74" s="14" t="inlineStr">
        <is>
          <t>Kitchen Table Values PAC</t>
        </is>
      </c>
      <c r="B74" s="14" t="inlineStr">
        <is>
          <t>Bob Brooks</t>
        </is>
      </c>
      <c r="C74" s="46" t="inlineStr">
        <is>
          <t>Opposes</t>
        </is>
      </c>
      <c r="D74" s="14" t="inlineStr">
        <is>
          <t>Texts</t>
        </is>
      </c>
      <c r="E74" s="14" t="inlineStr">
        <is>
          <t>Stephen Barron</t>
        </is>
      </c>
      <c r="F74" s="14" t="inlineStr">
        <is>
          <t>Bethlehem</t>
        </is>
      </c>
      <c r="G74" s="14" t="inlineStr">
        <is>
          <t>PA</t>
        </is>
      </c>
      <c r="H74" s="47" t="n">
        <v>1700</v>
      </c>
      <c r="I74" s="14" t="inlineStr">
        <is>
          <t>Texting and phone calls</t>
        </is>
      </c>
      <c r="J74" s="14" t="inlineStr">
        <is>
          <t>2026-04-16</t>
        </is>
      </c>
    </row>
    <row r="75">
      <c r="A75" s="14" t="inlineStr">
        <is>
          <t>Democratic Future PAC</t>
        </is>
      </c>
      <c r="B75" s="14" t="inlineStr">
        <is>
          <t>Bob Brooks</t>
        </is>
      </c>
      <c r="C75" s="46" t="inlineStr">
        <is>
          <t>Supports</t>
        </is>
      </c>
      <c r="D75" s="14" t="inlineStr">
        <is>
          <t>Text Messages</t>
        </is>
      </c>
      <c r="E75" s="14" t="inlineStr">
        <is>
          <t>Activate Change LLC</t>
        </is>
      </c>
      <c r="F75" s="14" t="inlineStr">
        <is>
          <t>Dover</t>
        </is>
      </c>
      <c r="G75" s="14" t="inlineStr">
        <is>
          <t>DE</t>
        </is>
      </c>
      <c r="H75" s="47" t="n">
        <v>1600</v>
      </c>
      <c r="I75" s="14" t="inlineStr">
        <is>
          <t>Texting and phone calls</t>
        </is>
      </c>
      <c r="J75" s="14" t="inlineStr">
        <is>
          <t>2026-04-20</t>
        </is>
      </c>
    </row>
    <row r="76">
      <c r="A76" s="14" t="inlineStr">
        <is>
          <t>Rural Freedom Network</t>
        </is>
      </c>
      <c r="B76" s="14" t="inlineStr">
        <is>
          <t>Ryan Mackenzie</t>
        </is>
      </c>
      <c r="C76" s="46" t="inlineStr">
        <is>
          <t>Opposes</t>
        </is>
      </c>
      <c r="D76" s="14" t="inlineStr">
        <is>
          <t>Printing</t>
        </is>
      </c>
      <c r="E76" s="14" t="inlineStr">
        <is>
          <t>Zippityprint</t>
        </is>
      </c>
      <c r="F76" s="14" t="inlineStr">
        <is>
          <t>Cleveland</t>
        </is>
      </c>
      <c r="G76" s="14" t="inlineStr">
        <is>
          <t>OH</t>
        </is>
      </c>
      <c r="H76" s="47" t="n">
        <v>1517.06</v>
      </c>
      <c r="I76" s="14" t="inlineStr">
        <is>
          <t>Mail and print</t>
        </is>
      </c>
      <c r="J76" s="14" t="inlineStr">
        <is>
          <t>2026-03-06</t>
        </is>
      </c>
    </row>
    <row r="77">
      <c r="A77" s="14" t="inlineStr">
        <is>
          <t>Make the Road Action Political Committee</t>
        </is>
      </c>
      <c r="B77" s="14" t="inlineStr">
        <is>
          <t>Bob Brooks</t>
        </is>
      </c>
      <c r="C77" s="46" t="inlineStr">
        <is>
          <t>Supports</t>
        </is>
      </c>
      <c r="D77" s="14" t="inlineStr">
        <is>
          <t>Door Literature</t>
        </is>
      </c>
      <c r="E77" s="14" t="inlineStr">
        <is>
          <t>Minuteman Press</t>
        </is>
      </c>
      <c r="F77" s="14" t="inlineStr">
        <is>
          <t>Philadelphia</t>
        </is>
      </c>
      <c r="G77" s="14" t="inlineStr">
        <is>
          <t>PA</t>
        </is>
      </c>
      <c r="H77" s="47" t="n">
        <v>1421.27</v>
      </c>
      <c r="I77" s="14" t="inlineStr">
        <is>
          <t>Mail and print</t>
        </is>
      </c>
      <c r="J77" s="14" t="inlineStr">
        <is>
          <t>2026-04-10</t>
        </is>
      </c>
    </row>
    <row r="78">
      <c r="A78" s="14" t="inlineStr">
        <is>
          <t>Activate America</t>
        </is>
      </c>
      <c r="B78" s="14" t="inlineStr">
        <is>
          <t>Ryan Mackenzie</t>
        </is>
      </c>
      <c r="C78" s="46" t="inlineStr">
        <is>
          <t>Opposes</t>
        </is>
      </c>
      <c r="D78" s="14" t="inlineStr">
        <is>
          <t>Voter Data</t>
        </is>
      </c>
      <c r="E78" s="14" t="inlineStr">
        <is>
          <t>America Votes</t>
        </is>
      </c>
      <c r="F78" s="14" t="inlineStr">
        <is>
          <t>Washington</t>
        </is>
      </c>
      <c r="G78" s="14" t="inlineStr">
        <is>
          <t>DC</t>
        </is>
      </c>
      <c r="H78" s="47" t="n">
        <v>1230.12</v>
      </c>
      <c r="I78" s="14" t="inlineStr">
        <is>
          <t>Data</t>
        </is>
      </c>
      <c r="J78" s="14" t="inlineStr">
        <is>
          <t>2025-04-14</t>
        </is>
      </c>
    </row>
    <row r="79">
      <c r="A79" s="14" t="inlineStr">
        <is>
          <t>FF PAC</t>
        </is>
      </c>
      <c r="B79" s="14" t="inlineStr">
        <is>
          <t>Bob Brooks</t>
        </is>
      </c>
      <c r="C79" s="46" t="inlineStr">
        <is>
          <t>Supports</t>
        </is>
      </c>
      <c r="D79" s="14" t="inlineStr">
        <is>
          <t>Ad Production</t>
        </is>
      </c>
      <c r="E79" s="14" t="inlineStr">
        <is>
          <t>Echo Networks LLC</t>
        </is>
      </c>
      <c r="F79" s="14" t="inlineStr">
        <is>
          <t>Brooklyn</t>
        </is>
      </c>
      <c r="G79" s="14" t="inlineStr">
        <is>
          <t>NY</t>
        </is>
      </c>
      <c r="H79" s="47" t="n">
        <v>1200</v>
      </c>
      <c r="I79" s="14" t="inlineStr">
        <is>
          <t>Production</t>
        </is>
      </c>
      <c r="J79" s="14" t="inlineStr">
        <is>
          <t>2026-05-18</t>
        </is>
      </c>
    </row>
    <row r="80">
      <c r="A80" s="14" t="inlineStr">
        <is>
          <t>Majority Blue PAC</t>
        </is>
      </c>
      <c r="B80" s="14" t="inlineStr">
        <is>
          <t>Bob Brooks</t>
        </is>
      </c>
      <c r="C80" s="46" t="inlineStr">
        <is>
          <t>Supports</t>
        </is>
      </c>
      <c r="D80" s="14" t="inlineStr">
        <is>
          <t>Text Messages</t>
        </is>
      </c>
      <c r="E80" s="14" t="inlineStr">
        <is>
          <t>Activate Change LLC</t>
        </is>
      </c>
      <c r="F80" s="14" t="inlineStr">
        <is>
          <t>Dover</t>
        </is>
      </c>
      <c r="G80" s="14" t="inlineStr">
        <is>
          <t>DE</t>
        </is>
      </c>
      <c r="H80" s="47" t="n">
        <v>1175</v>
      </c>
      <c r="I80" s="14" t="inlineStr">
        <is>
          <t>Texting and phone calls</t>
        </is>
      </c>
      <c r="J80" s="14" t="inlineStr">
        <is>
          <t>2026-06-22</t>
        </is>
      </c>
    </row>
    <row r="81">
      <c r="A81" s="14" t="inlineStr">
        <is>
          <t>Blue Shift PAC</t>
        </is>
      </c>
      <c r="B81" s="14" t="inlineStr">
        <is>
          <t>Bob Brooks</t>
        </is>
      </c>
      <c r="C81" s="46" t="inlineStr">
        <is>
          <t>Supports</t>
        </is>
      </c>
      <c r="D81" s="14" t="inlineStr">
        <is>
          <t>Text Messages</t>
        </is>
      </c>
      <c r="E81" s="14" t="inlineStr">
        <is>
          <t>Activate Change LLC</t>
        </is>
      </c>
      <c r="F81" s="14" t="inlineStr">
        <is>
          <t>Dover</t>
        </is>
      </c>
      <c r="G81" s="14" t="inlineStr">
        <is>
          <t>DE</t>
        </is>
      </c>
      <c r="H81" s="47" t="n">
        <v>1083.33</v>
      </c>
      <c r="I81" s="14" t="inlineStr">
        <is>
          <t>Texting and phone calls</t>
        </is>
      </c>
      <c r="J81" s="14" t="inlineStr">
        <is>
          <t>2026-04-20</t>
        </is>
      </c>
    </row>
    <row r="82">
      <c r="A82" s="14" t="inlineStr">
        <is>
          <t>Blue Democracy Network</t>
        </is>
      </c>
      <c r="B82" s="14" t="inlineStr">
        <is>
          <t>Bob Brooks</t>
        </is>
      </c>
      <c r="C82" s="46" t="inlineStr">
        <is>
          <t>Supports</t>
        </is>
      </c>
      <c r="D82" s="14" t="inlineStr">
        <is>
          <t>Text Messages</t>
        </is>
      </c>
      <c r="E82" s="14" t="inlineStr">
        <is>
          <t>Activate Change LLC</t>
        </is>
      </c>
      <c r="F82" s="14" t="inlineStr">
        <is>
          <t>Dover</t>
        </is>
      </c>
      <c r="G82" s="14" t="inlineStr">
        <is>
          <t>DE</t>
        </is>
      </c>
      <c r="H82" s="47" t="n">
        <v>1012.5</v>
      </c>
      <c r="I82" s="14" t="inlineStr">
        <is>
          <t>Texting and phone calls</t>
        </is>
      </c>
      <c r="J82" s="14" t="inlineStr">
        <is>
          <t>2026-04-20</t>
        </is>
      </c>
    </row>
    <row r="83">
      <c r="A83" s="14" t="inlineStr">
        <is>
          <t>Democratic Future PAC</t>
        </is>
      </c>
      <c r="B83" s="14" t="inlineStr">
        <is>
          <t>Bob Brooks</t>
        </is>
      </c>
      <c r="C83" s="46" t="inlineStr">
        <is>
          <t>Supports</t>
        </is>
      </c>
      <c r="D83" s="14" t="inlineStr">
        <is>
          <t>Text Messages</t>
        </is>
      </c>
      <c r="E83" s="14" t="inlineStr">
        <is>
          <t>Activate Change LLC</t>
        </is>
      </c>
      <c r="F83" s="14" t="inlineStr">
        <is>
          <t>Dover</t>
        </is>
      </c>
      <c r="G83" s="14" t="inlineStr">
        <is>
          <t>DE</t>
        </is>
      </c>
      <c r="H83" s="47" t="n">
        <v>1000</v>
      </c>
      <c r="I83" s="14" t="inlineStr">
        <is>
          <t>Texting and phone calls</t>
        </is>
      </c>
      <c r="J83" s="14" t="inlineStr">
        <is>
          <t>2026-04-20</t>
        </is>
      </c>
    </row>
    <row r="84">
      <c r="A84" s="14" t="inlineStr">
        <is>
          <t>Blue Majority Project</t>
        </is>
      </c>
      <c r="B84" s="14" t="inlineStr">
        <is>
          <t>Bob Brooks</t>
        </is>
      </c>
      <c r="C84" s="46" t="inlineStr">
        <is>
          <t>Supports</t>
        </is>
      </c>
      <c r="D84" s="14" t="inlineStr">
        <is>
          <t>Text Messages</t>
        </is>
      </c>
      <c r="E84" s="14" t="inlineStr">
        <is>
          <t>Activate Change LLC</t>
        </is>
      </c>
      <c r="F84" s="14" t="inlineStr">
        <is>
          <t>Dover</t>
        </is>
      </c>
      <c r="G84" s="14" t="inlineStr">
        <is>
          <t>DE</t>
        </is>
      </c>
      <c r="H84" s="47" t="n">
        <v>883.34</v>
      </c>
      <c r="I84" s="14" t="inlineStr">
        <is>
          <t>Texting and phone calls</t>
        </is>
      </c>
      <c r="J84" s="14" t="inlineStr">
        <is>
          <t>2026-02-09</t>
        </is>
      </c>
    </row>
    <row r="85">
      <c r="A85" s="14" t="inlineStr">
        <is>
          <t>Field Team 6, Inc.</t>
        </is>
      </c>
      <c r="B85" s="14" t="inlineStr">
        <is>
          <t>Ryan Mackenzie</t>
        </is>
      </c>
      <c r="C85" s="46" t="inlineStr">
        <is>
          <t>Opposes</t>
        </is>
      </c>
      <c r="D85" s="14" t="inlineStr">
        <is>
          <t>Sms Texting</t>
        </is>
      </c>
      <c r="E85" s="14" t="inlineStr">
        <is>
          <t>Momentous Outreach Inc</t>
        </is>
      </c>
      <c r="F85" s="14" t="inlineStr">
        <is>
          <t>Los Angeles</t>
        </is>
      </c>
      <c r="G85" s="14" t="inlineStr">
        <is>
          <t>CA</t>
        </is>
      </c>
      <c r="H85" s="47" t="n">
        <v>859.88</v>
      </c>
      <c r="I85" s="14" t="inlineStr">
        <is>
          <t>Texting and phone calls</t>
        </is>
      </c>
      <c r="J85" s="14" t="inlineStr">
        <is>
          <t>2026-03-05</t>
        </is>
      </c>
    </row>
    <row r="86">
      <c r="A86" s="14" t="inlineStr">
        <is>
          <t>Make the Road Action Political Committee</t>
        </is>
      </c>
      <c r="B86" s="14" t="inlineStr">
        <is>
          <t>Bob Brooks</t>
        </is>
      </c>
      <c r="C86" s="46" t="inlineStr">
        <is>
          <t>Supports</t>
        </is>
      </c>
      <c r="D86" s="14" t="inlineStr">
        <is>
          <t>Canvassing Services (corresponding Memo on 24/48 Can Not Be Deleted in Fecfile)</t>
        </is>
      </c>
      <c r="E86" s="14" t="inlineStr">
        <is>
          <t>Make the Road Action Inc.</t>
        </is>
      </c>
      <c r="F86" s="14" t="inlineStr">
        <is>
          <t>Brooklyn</t>
        </is>
      </c>
      <c r="G86" s="14" t="inlineStr">
        <is>
          <t>NY</t>
        </is>
      </c>
      <c r="H86" s="47" t="n">
        <v>735</v>
      </c>
      <c r="I86" s="14" t="inlineStr">
        <is>
          <t>Canvassing and field</t>
        </is>
      </c>
      <c r="J86" s="14" t="inlineStr">
        <is>
          <t>2026-04-30</t>
        </is>
      </c>
    </row>
    <row r="87">
      <c r="A87" s="14" t="inlineStr">
        <is>
          <t>Make the Road Action Political Committee</t>
        </is>
      </c>
      <c r="B87" s="14" t="inlineStr">
        <is>
          <t>Bob Brooks</t>
        </is>
      </c>
      <c r="C87" s="46" t="inlineStr">
        <is>
          <t>Supports</t>
        </is>
      </c>
      <c r="D87" s="14" t="inlineStr">
        <is>
          <t>Canvassing Services (corresponding Memo on 24/48 Can Not Be Deleted in Fecfile)</t>
        </is>
      </c>
      <c r="E87" s="14" t="inlineStr">
        <is>
          <t>Make the Road Action Inc.</t>
        </is>
      </c>
      <c r="F87" s="14" t="inlineStr">
        <is>
          <t>Brooklyn</t>
        </is>
      </c>
      <c r="G87" s="14" t="inlineStr">
        <is>
          <t>NY</t>
        </is>
      </c>
      <c r="H87" s="47" t="n">
        <v>682</v>
      </c>
      <c r="I87" s="14" t="inlineStr">
        <is>
          <t>Canvassing and field</t>
        </is>
      </c>
      <c r="J87" s="14" t="inlineStr">
        <is>
          <t>2026-06-01</t>
        </is>
      </c>
    </row>
    <row r="88">
      <c r="A88" s="14" t="inlineStr">
        <is>
          <t>Blue Majority Makers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666.66</v>
      </c>
      <c r="I88" s="14" t="inlineStr">
        <is>
          <t>Texting and phone calls</t>
        </is>
      </c>
      <c r="J88" s="14" t="inlineStr">
        <is>
          <t>2026-06-22</t>
        </is>
      </c>
    </row>
    <row r="89">
      <c r="A89" s="14" t="inlineStr">
        <is>
          <t>Field Team 6, Inc.</t>
        </is>
      </c>
      <c r="B89" s="14" t="inlineStr">
        <is>
          <t>Bob Brooks</t>
        </is>
      </c>
      <c r="C89" s="46" t="inlineStr">
        <is>
          <t>Supports</t>
        </is>
      </c>
      <c r="D89" s="14" t="inlineStr">
        <is>
          <t>Sms Texting</t>
        </is>
      </c>
      <c r="E89" s="14" t="inlineStr">
        <is>
          <t>Momentous Outreach Inc</t>
        </is>
      </c>
      <c r="F89" s="14" t="inlineStr">
        <is>
          <t>Los Angeles</t>
        </is>
      </c>
      <c r="G89" s="14" t="inlineStr">
        <is>
          <t>CA</t>
        </is>
      </c>
      <c r="H89" s="47" t="n">
        <v>638.3</v>
      </c>
      <c r="I89" s="14" t="inlineStr">
        <is>
          <t>Texting and phone calls</t>
        </is>
      </c>
      <c r="J89" s="14" t="inlineStr">
        <is>
          <t>2026-06-24</t>
        </is>
      </c>
    </row>
    <row r="90">
      <c r="A90" s="14" t="inlineStr">
        <is>
          <t>Indigo PAC</t>
        </is>
      </c>
      <c r="B90" s="14" t="inlineStr">
        <is>
          <t>Ryan Mackenzie</t>
        </is>
      </c>
      <c r="C90" s="46" t="inlineStr">
        <is>
          <t>Opposes</t>
        </is>
      </c>
      <c r="D90" s="14" t="inlineStr">
        <is>
          <t>Digital Advertising</t>
        </is>
      </c>
      <c r="E90" s="14" t="inlineStr">
        <is>
          <t>Meta Platforms, Inc.</t>
        </is>
      </c>
      <c r="F90" s="14" t="inlineStr">
        <is>
          <t>Menlo Park</t>
        </is>
      </c>
      <c r="G90" s="14" t="inlineStr">
        <is>
          <t>CA</t>
        </is>
      </c>
      <c r="H90" s="47" t="n">
        <v>346</v>
      </c>
      <c r="I90" s="14" t="inlineStr">
        <is>
          <t>Digital advertising</t>
        </is>
      </c>
      <c r="J90" s="14" t="inlineStr">
        <is>
          <t>2025-10-20</t>
        </is>
      </c>
    </row>
    <row r="91">
      <c r="A91" s="14" t="inlineStr">
        <is>
          <t>Indigo PAC</t>
        </is>
      </c>
      <c r="B91" s="14" t="inlineStr">
        <is>
          <t>Ryan Mackenzie</t>
        </is>
      </c>
      <c r="C91" s="46" t="inlineStr">
        <is>
          <t>Opposes</t>
        </is>
      </c>
      <c r="D91" s="14" t="inlineStr">
        <is>
          <t>Digital Advertising</t>
        </is>
      </c>
      <c r="E91" s="14" t="inlineStr">
        <is>
          <t>Meta Platforms, Inc.</t>
        </is>
      </c>
      <c r="F91" s="14" t="inlineStr">
        <is>
          <t>Menlo Park</t>
        </is>
      </c>
      <c r="G91" s="14" t="inlineStr">
        <is>
          <t>CA</t>
        </is>
      </c>
      <c r="H91" s="47" t="n">
        <v>304.22</v>
      </c>
      <c r="I91" s="14" t="inlineStr">
        <is>
          <t>Digital advertising</t>
        </is>
      </c>
      <c r="J91" s="14" t="inlineStr">
        <is>
          <t>2025-11-03</t>
        </is>
      </c>
    </row>
    <row r="92">
      <c r="A92" s="14" t="inlineStr">
        <is>
          <t>Indigo PAC</t>
        </is>
      </c>
      <c r="B92" s="14" t="inlineStr">
        <is>
          <t>Ryan Mackenzie</t>
        </is>
      </c>
      <c r="C92" s="46" t="inlineStr">
        <is>
          <t>Opposes</t>
        </is>
      </c>
      <c r="D92" s="14" t="inlineStr">
        <is>
          <t>Digital Advertising</t>
        </is>
      </c>
      <c r="E92" s="14" t="inlineStr">
        <is>
          <t>Meta Platforms, Inc.</t>
        </is>
      </c>
      <c r="F92" s="14" t="inlineStr">
        <is>
          <t>Menlo Park</t>
        </is>
      </c>
      <c r="G92" s="14" t="inlineStr">
        <is>
          <t>CA</t>
        </is>
      </c>
      <c r="H92" s="47" t="n">
        <v>284</v>
      </c>
      <c r="I92" s="14" t="inlineStr">
        <is>
          <t>Digital advertising</t>
        </is>
      </c>
      <c r="J92" s="14" t="inlineStr">
        <is>
          <t>2025-10-14</t>
        </is>
      </c>
    </row>
    <row r="93">
      <c r="A93" s="14" t="inlineStr">
        <is>
          <t>Activate America</t>
        </is>
      </c>
      <c r="B93" s="14" t="inlineStr">
        <is>
          <t>Ryan Mackenzie</t>
        </is>
      </c>
      <c r="C93" s="46" t="inlineStr">
        <is>
          <t>Opposes</t>
        </is>
      </c>
      <c r="D93" s="14" t="inlineStr">
        <is>
          <t>Text Bank</t>
        </is>
      </c>
      <c r="E93" s="14" t="inlineStr">
        <is>
          <t>Scale to Win</t>
        </is>
      </c>
      <c r="F93" s="14" t="inlineStr">
        <is>
          <t>Santa Ana</t>
        </is>
      </c>
      <c r="G93" s="14" t="inlineStr">
        <is>
          <t>CA</t>
        </is>
      </c>
      <c r="H93" s="47" t="n">
        <v>250.82</v>
      </c>
      <c r="I93" s="14" t="inlineStr">
        <is>
          <t>Texting and phone calls</t>
        </is>
      </c>
      <c r="J93" s="14" t="inlineStr">
        <is>
          <t>2025-05-16</t>
        </is>
      </c>
    </row>
    <row r="94">
      <c r="A94" s="14" t="inlineStr">
        <is>
          <t>Indigo PAC</t>
        </is>
      </c>
      <c r="B94" s="14" t="inlineStr">
        <is>
          <t>Ryan Mackenzie</t>
        </is>
      </c>
      <c r="C94" s="46" t="inlineStr">
        <is>
          <t>Opposes</t>
        </is>
      </c>
      <c r="D94" s="14" t="inlineStr">
        <is>
          <t>Digital Advertising</t>
        </is>
      </c>
      <c r="E94" s="14" t="inlineStr">
        <is>
          <t>Meta Platforms, Inc.</t>
        </is>
      </c>
      <c r="F94" s="14" t="inlineStr">
        <is>
          <t>Menlo Park</t>
        </is>
      </c>
      <c r="G94" s="14" t="inlineStr">
        <is>
          <t>CA</t>
        </is>
      </c>
      <c r="H94" s="47" t="n">
        <v>243</v>
      </c>
      <c r="I94" s="14" t="inlineStr">
        <is>
          <t>Digital advertising</t>
        </is>
      </c>
      <c r="J94" s="14" t="inlineStr">
        <is>
          <t>2025-10-07</t>
        </is>
      </c>
    </row>
    <row r="95">
      <c r="A95" s="14" t="inlineStr">
        <is>
          <t>Field Team 6, Inc.</t>
        </is>
      </c>
      <c r="B95" s="14" t="inlineStr">
        <is>
          <t>Ryan Mackenzie</t>
        </is>
      </c>
      <c r="C95" s="46" t="inlineStr">
        <is>
          <t>Opposes</t>
        </is>
      </c>
      <c r="D95" s="14" t="inlineStr">
        <is>
          <t>Sms Texting</t>
        </is>
      </c>
      <c r="E95" s="14" t="inlineStr">
        <is>
          <t>Momentous Outreach Inc</t>
        </is>
      </c>
      <c r="F95" s="14" t="inlineStr">
        <is>
          <t>Los Angeles</t>
        </is>
      </c>
      <c r="G95" s="14" t="inlineStr">
        <is>
          <t>CA</t>
        </is>
      </c>
      <c r="H95" s="47" t="n">
        <v>236.81</v>
      </c>
      <c r="I95" s="14" t="inlineStr">
        <is>
          <t>Texting and phone calls</t>
        </is>
      </c>
      <c r="J95" s="14" t="inlineStr">
        <is>
          <t>2026-02-04</t>
        </is>
      </c>
    </row>
    <row r="96">
      <c r="A96" s="14" t="inlineStr">
        <is>
          <t>Indigo PAC</t>
        </is>
      </c>
      <c r="B96" s="14" t="inlineStr">
        <is>
          <t>Ryan Mackenzie</t>
        </is>
      </c>
      <c r="C96" s="46" t="inlineStr">
        <is>
          <t>Opposes</t>
        </is>
      </c>
      <c r="D96" s="14" t="inlineStr">
        <is>
          <t>Digital Advertising</t>
        </is>
      </c>
      <c r="E96" s="14" t="inlineStr">
        <is>
          <t>Meta Platforms, Inc.</t>
        </is>
      </c>
      <c r="F96" s="14" t="inlineStr">
        <is>
          <t>Menlo Park</t>
        </is>
      </c>
      <c r="G96" s="14" t="inlineStr">
        <is>
          <t>CA</t>
        </is>
      </c>
      <c r="H96" s="47" t="n">
        <v>194.64</v>
      </c>
      <c r="I96" s="14" t="inlineStr">
        <is>
          <t>Digital advertising</t>
        </is>
      </c>
      <c r="J96" s="14" t="inlineStr">
        <is>
          <t>2025-10-27</t>
        </is>
      </c>
    </row>
    <row r="97">
      <c r="A97" s="14" t="inlineStr">
        <is>
          <t>SURJ PAC</t>
        </is>
      </c>
      <c r="B97" s="14" t="inlineStr">
        <is>
          <t>Bob Brooks</t>
        </is>
      </c>
      <c r="C97" s="46" t="inlineStr">
        <is>
          <t>Supports</t>
        </is>
      </c>
      <c r="D97" s="14" t="inlineStr">
        <is>
          <t>Staff Time: Phone Banking - Non-contribution Account</t>
        </is>
      </c>
      <c r="E97" s="14" t="inlineStr">
        <is>
          <t>Showing Up for Racial Justice Inc.</t>
        </is>
      </c>
      <c r="F97" s="14" t="inlineStr">
        <is>
          <t>Atlanta</t>
        </is>
      </c>
      <c r="G97" s="14" t="inlineStr">
        <is>
          <t>GA</t>
        </is>
      </c>
      <c r="H97" s="47" t="n">
        <v>187.51</v>
      </c>
      <c r="I97" s="14" t="inlineStr">
        <is>
          <t>Texting and phone calls</t>
        </is>
      </c>
      <c r="J97" s="14" t="inlineStr">
        <is>
          <t>2026-05-29</t>
        </is>
      </c>
    </row>
    <row r="98">
      <c r="A98" s="14" t="inlineStr">
        <is>
          <t>Rural Freedom Network</t>
        </is>
      </c>
      <c r="B98" s="14" t="inlineStr">
        <is>
          <t>Bob Brooks</t>
        </is>
      </c>
      <c r="C98" s="46" t="inlineStr">
        <is>
          <t>Supports</t>
        </is>
      </c>
      <c r="D98" s="14" t="inlineStr">
        <is>
          <t>Printing</t>
        </is>
      </c>
      <c r="E98" s="14" t="inlineStr">
        <is>
          <t>Zippityprint</t>
        </is>
      </c>
      <c r="F98" s="14" t="inlineStr">
        <is>
          <t>Cleveland</t>
        </is>
      </c>
      <c r="G98" s="14" t="inlineStr">
        <is>
          <t>OH</t>
        </is>
      </c>
      <c r="H98" s="47" t="n">
        <v>157.07</v>
      </c>
      <c r="I98" s="14" t="inlineStr">
        <is>
          <t>Mail and print</t>
        </is>
      </c>
      <c r="J98" s="14" t="inlineStr">
        <is>
          <t>2026-06-18</t>
        </is>
      </c>
    </row>
    <row r="99">
      <c r="A99" s="14" t="inlineStr">
        <is>
          <t>Indigo PAC</t>
        </is>
      </c>
      <c r="B99" s="14" t="inlineStr">
        <is>
          <t>Ryan Mackenzie</t>
        </is>
      </c>
      <c r="C99" s="46" t="inlineStr">
        <is>
          <t>Opposes</t>
        </is>
      </c>
      <c r="D99" s="14" t="inlineStr">
        <is>
          <t>Digital Advertising</t>
        </is>
      </c>
      <c r="E99" s="14" t="inlineStr">
        <is>
          <t>Meta Platforms, Inc.</t>
        </is>
      </c>
      <c r="F99" s="14" t="inlineStr">
        <is>
          <t>Menlo Park</t>
        </is>
      </c>
      <c r="G99" s="14" t="inlineStr">
        <is>
          <t>CA</t>
        </is>
      </c>
      <c r="H99" s="47" t="n">
        <v>156</v>
      </c>
      <c r="I99" s="14" t="inlineStr">
        <is>
          <t>Digital advertising</t>
        </is>
      </c>
      <c r="J99" s="14" t="inlineStr">
        <is>
          <t>2025-09-29</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137.49</v>
      </c>
      <c r="I100" s="14" t="inlineStr">
        <is>
          <t>Digital advertising</t>
        </is>
      </c>
      <c r="J100" s="14" t="inlineStr">
        <is>
          <t>2025-09-29</t>
        </is>
      </c>
    </row>
    <row r="101">
      <c r="A101" s="14" t="inlineStr">
        <is>
          <t>Activate America</t>
        </is>
      </c>
      <c r="B101" s="14" t="inlineStr">
        <is>
          <t>Ryan Mackenzie</t>
        </is>
      </c>
      <c r="C101" s="46" t="inlineStr">
        <is>
          <t>Opposes</t>
        </is>
      </c>
      <c r="D101" s="14" t="inlineStr">
        <is>
          <t>Text Bank</t>
        </is>
      </c>
      <c r="E101" s="14" t="inlineStr">
        <is>
          <t>Scale to Win</t>
        </is>
      </c>
      <c r="F101" s="14" t="inlineStr">
        <is>
          <t>Santa Ana</t>
        </is>
      </c>
      <c r="G101" s="14" t="inlineStr">
        <is>
          <t>CA</t>
        </is>
      </c>
      <c r="H101" s="47" t="n">
        <v>124.9</v>
      </c>
      <c r="I101" s="14" t="inlineStr">
        <is>
          <t>Texting and phone calls</t>
        </is>
      </c>
      <c r="J101" s="14" t="inlineStr">
        <is>
          <t>2025-06-12</t>
        </is>
      </c>
    </row>
    <row r="102">
      <c r="A102" s="14" t="inlineStr">
        <is>
          <t>Blue Majority Makers PAC</t>
        </is>
      </c>
      <c r="B102" s="14" t="inlineStr">
        <is>
          <t>Bob Brooks</t>
        </is>
      </c>
      <c r="C102" s="46" t="inlineStr">
        <is>
          <t>Supports</t>
        </is>
      </c>
      <c r="D102" s="14" t="inlineStr">
        <is>
          <t>Text Messages</t>
        </is>
      </c>
      <c r="E102" s="14" t="inlineStr">
        <is>
          <t>Activate Change LLC</t>
        </is>
      </c>
      <c r="F102" s="14" t="inlineStr">
        <is>
          <t>Dover</t>
        </is>
      </c>
      <c r="G102" s="14" t="inlineStr">
        <is>
          <t>DE</t>
        </is>
      </c>
      <c r="H102" s="47" t="n">
        <v>100</v>
      </c>
      <c r="I102" s="14" t="inlineStr">
        <is>
          <t>Texting and phone calls</t>
        </is>
      </c>
      <c r="J102" s="14" t="inlineStr">
        <is>
          <t>2026-06-22</t>
        </is>
      </c>
    </row>
    <row r="103">
      <c r="A103" s="14" t="inlineStr">
        <is>
          <t>Activate America</t>
        </is>
      </c>
      <c r="B103" s="14" t="inlineStr">
        <is>
          <t>Ryan Mackenzie</t>
        </is>
      </c>
      <c r="C103" s="46" t="inlineStr">
        <is>
          <t>Opposes</t>
        </is>
      </c>
      <c r="D103" s="14" t="inlineStr">
        <is>
          <t>Phone Bank</t>
        </is>
      </c>
      <c r="E103" s="14" t="inlineStr">
        <is>
          <t>Scale to Win</t>
        </is>
      </c>
      <c r="F103" s="14" t="inlineStr">
        <is>
          <t>Santa Ana</t>
        </is>
      </c>
      <c r="G103" s="14" t="inlineStr">
        <is>
          <t>CA</t>
        </is>
      </c>
      <c r="H103" s="47" t="n">
        <v>96.45</v>
      </c>
      <c r="I103" s="14" t="inlineStr">
        <is>
          <t>Texting and phone calls</t>
        </is>
      </c>
      <c r="J103" s="14" t="inlineStr">
        <is>
          <t>2025-04-24</t>
        </is>
      </c>
    </row>
    <row r="104">
      <c r="A104" s="14" t="inlineStr">
        <is>
          <t>Planned Parenthood Votes</t>
        </is>
      </c>
      <c r="B104" s="14" t="inlineStr">
        <is>
          <t>Ryan Mackenzie</t>
        </is>
      </c>
      <c r="C104" s="46" t="inlineStr">
        <is>
          <t>Opposes</t>
        </is>
      </c>
      <c r="D104" s="14" t="inlineStr">
        <is>
          <t>Staff Time for Voter Communications</t>
        </is>
      </c>
      <c r="E104" s="14" t="inlineStr">
        <is>
          <t>Planned Parenthood Action Fund, Inc.</t>
        </is>
      </c>
      <c r="F104" s="14" t="inlineStr">
        <is>
          <t>New York</t>
        </is>
      </c>
      <c r="G104" s="14" t="inlineStr">
        <is>
          <t>NY</t>
        </is>
      </c>
      <c r="H104" s="47" t="n">
        <v>85.38</v>
      </c>
      <c r="I104" s="14" t="inlineStr">
        <is>
          <t>Canvassing and field</t>
        </is>
      </c>
      <c r="J104" s="14" t="inlineStr">
        <is>
          <t>2026-06-28</t>
        </is>
      </c>
    </row>
    <row r="105">
      <c r="A105" s="14" t="inlineStr">
        <is>
          <t>Indigo PAC</t>
        </is>
      </c>
      <c r="B105" s="14" t="inlineStr">
        <is>
          <t>Ryan Mackenzie</t>
        </is>
      </c>
      <c r="C105" s="46" t="inlineStr">
        <is>
          <t>Opposes</t>
        </is>
      </c>
      <c r="D105" s="14" t="inlineStr">
        <is>
          <t>Digital Advertising</t>
        </is>
      </c>
      <c r="E105" s="14" t="inlineStr">
        <is>
          <t>Meta Platforms, Inc.</t>
        </is>
      </c>
      <c r="F105" s="14" t="inlineStr">
        <is>
          <t>Menlo Park</t>
        </is>
      </c>
      <c r="G105" s="14" t="inlineStr">
        <is>
          <t>CA</t>
        </is>
      </c>
      <c r="H105" s="47" t="n">
        <v>76.42</v>
      </c>
      <c r="I105" s="14" t="inlineStr">
        <is>
          <t>Digital advertising</t>
        </is>
      </c>
      <c r="J105" s="14" t="inlineStr">
        <is>
          <t>2025-09-29</t>
        </is>
      </c>
    </row>
    <row r="106">
      <c r="A106" s="14" t="inlineStr">
        <is>
          <t>Planned Parenthood Votes</t>
        </is>
      </c>
      <c r="B106" s="14" t="inlineStr">
        <is>
          <t>Ryan Mackenzie</t>
        </is>
      </c>
      <c r="C106" s="46" t="inlineStr">
        <is>
          <t>Opposes</t>
        </is>
      </c>
      <c r="D106" s="14" t="inlineStr">
        <is>
          <t>Estimated Cost of Staff Time for Voter Communications</t>
        </is>
      </c>
      <c r="E106" s="14" t="inlineStr">
        <is>
          <t>Planned Parenthood Action Fund, Inc.</t>
        </is>
      </c>
      <c r="F106" s="14" t="inlineStr">
        <is>
          <t>New York</t>
        </is>
      </c>
      <c r="G106" s="14" t="inlineStr">
        <is>
          <t>NY</t>
        </is>
      </c>
      <c r="H106" s="47" t="n">
        <v>71.43000000000001</v>
      </c>
      <c r="I106" s="14" t="inlineStr">
        <is>
          <t>Canvassing and field</t>
        </is>
      </c>
      <c r="J106" s="14" t="inlineStr">
        <is>
          <t>2026-05-19</t>
        </is>
      </c>
    </row>
    <row r="107">
      <c r="A107" s="14" t="inlineStr">
        <is>
          <t>Blue Democracy Network</t>
        </is>
      </c>
      <c r="B107" s="14" t="inlineStr">
        <is>
          <t>Bob Brooks</t>
        </is>
      </c>
      <c r="C107" s="46" t="inlineStr">
        <is>
          <t>Supports</t>
        </is>
      </c>
      <c r="D107" s="14" t="inlineStr">
        <is>
          <t>Text Messages</t>
        </is>
      </c>
      <c r="E107" s="14" t="inlineStr">
        <is>
          <t>Activate Change LLC</t>
        </is>
      </c>
      <c r="F107" s="14" t="inlineStr">
        <is>
          <t>Dover</t>
        </is>
      </c>
      <c r="G107" s="14" t="inlineStr">
        <is>
          <t>DE</t>
        </is>
      </c>
      <c r="H107" s="47" t="n">
        <v>62.5</v>
      </c>
      <c r="I107" s="14" t="inlineStr">
        <is>
          <t>Texting and phone calls</t>
        </is>
      </c>
      <c r="J107" s="14" t="inlineStr">
        <is>
          <t>2026-04-20</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55</v>
      </c>
      <c r="I108" s="14" t="inlineStr">
        <is>
          <t>Digital advertising</t>
        </is>
      </c>
      <c r="J108" s="14" t="inlineStr">
        <is>
          <t>2025-09-15</t>
        </is>
      </c>
    </row>
    <row r="109">
      <c r="A109" s="14" t="inlineStr">
        <is>
          <t>The People United PAC</t>
        </is>
      </c>
      <c r="B109" s="14" t="inlineStr">
        <is>
          <t>Bob Brooks</t>
        </is>
      </c>
      <c r="C109" s="46" t="inlineStr">
        <is>
          <t>Supports</t>
        </is>
      </c>
      <c r="D109" s="14" t="inlineStr">
        <is>
          <t>Fundraising Email</t>
        </is>
      </c>
      <c r="E109" s="14" t="inlineStr">
        <is>
          <t>Strategy &amp; Hustle L.l.c.</t>
        </is>
      </c>
      <c r="F109" s="14" t="inlineStr">
        <is>
          <t>Washington</t>
        </is>
      </c>
      <c r="G109" s="14" t="inlineStr">
        <is>
          <t>DC</t>
        </is>
      </c>
      <c r="H109" s="47" t="n">
        <v>50</v>
      </c>
      <c r="I109" s="14" t="inlineStr">
        <is>
          <t>Email</t>
        </is>
      </c>
      <c r="J109" s="14" t="inlineStr">
        <is>
          <t>2026-05-21</t>
        </is>
      </c>
    </row>
    <row r="110">
      <c r="A110" s="14" t="inlineStr">
        <is>
          <t>Indigo PAC</t>
        </is>
      </c>
      <c r="B110" s="14" t="inlineStr">
        <is>
          <t>Ryan Mackenzie</t>
        </is>
      </c>
      <c r="C110" s="46" t="inlineStr">
        <is>
          <t>Opposes</t>
        </is>
      </c>
      <c r="D110" s="14" t="inlineStr">
        <is>
          <t>Digital Advertising</t>
        </is>
      </c>
      <c r="E110" s="14" t="inlineStr">
        <is>
          <t>Meta Platforms, Inc.</t>
        </is>
      </c>
      <c r="F110" s="14" t="inlineStr">
        <is>
          <t>Menlo Park</t>
        </is>
      </c>
      <c r="G110" s="14" t="inlineStr">
        <is>
          <t>CA</t>
        </is>
      </c>
      <c r="H110" s="47" t="n">
        <v>39</v>
      </c>
      <c r="I110" s="14" t="inlineStr">
        <is>
          <t>Digital advertising</t>
        </is>
      </c>
      <c r="J110" s="14" t="inlineStr">
        <is>
          <t>2025-09-11</t>
        </is>
      </c>
    </row>
    <row r="111">
      <c r="A111" s="14" t="inlineStr">
        <is>
          <t>Make the Road Action Political Committee</t>
        </is>
      </c>
      <c r="B111" s="14" t="inlineStr">
        <is>
          <t>Bob Brooks</t>
        </is>
      </c>
      <c r="C111" s="46" t="inlineStr">
        <is>
          <t>Supports</t>
        </is>
      </c>
      <c r="D111" s="14" t="inlineStr">
        <is>
          <t>Food for Canvassers</t>
        </is>
      </c>
      <c r="E111" s="14" t="inlineStr">
        <is>
          <t>Wing Stop</t>
        </is>
      </c>
      <c r="F111" s="14" t="inlineStr">
        <is>
          <t>Philadelphia</t>
        </is>
      </c>
      <c r="G111" s="14" t="inlineStr">
        <is>
          <t>PA</t>
        </is>
      </c>
      <c r="H111" s="47" t="n">
        <v>35.68</v>
      </c>
      <c r="I111" s="14" t="inlineStr">
        <is>
          <t>Canvassing and field</t>
        </is>
      </c>
      <c r="J111" s="14" t="inlineStr">
        <is>
          <t>2026-04-02</t>
        </is>
      </c>
    </row>
    <row r="112">
      <c r="A112" s="14" t="inlineStr">
        <is>
          <t>Givegreen United Action</t>
        </is>
      </c>
      <c r="B112" s="14" t="inlineStr">
        <is>
          <t>Bob Brooks</t>
        </is>
      </c>
      <c r="C112" s="46" t="inlineStr">
        <is>
          <t>Supports</t>
        </is>
      </c>
      <c r="D112" s="14" t="inlineStr">
        <is>
          <t>Email Messaging</t>
        </is>
      </c>
      <c r="E112" s="14" t="inlineStr">
        <is>
          <t>New Blue Interactive</t>
        </is>
      </c>
      <c r="F112" s="14" t="inlineStr">
        <is>
          <t>Bethesda</t>
        </is>
      </c>
      <c r="G112" s="14" t="inlineStr">
        <is>
          <t>MD</t>
        </is>
      </c>
      <c r="H112" s="47" t="n">
        <v>32</v>
      </c>
      <c r="I112" s="14" t="inlineStr">
        <is>
          <t>Email</t>
        </is>
      </c>
      <c r="J112" s="14" t="inlineStr">
        <is>
          <t>2026-06-25</t>
        </is>
      </c>
    </row>
    <row r="113">
      <c r="A113" s="14" t="inlineStr">
        <is>
          <t>Givegreen United Action</t>
        </is>
      </c>
      <c r="B113" s="14" t="inlineStr">
        <is>
          <t>Bob Brooks</t>
        </is>
      </c>
      <c r="C113" s="46" t="inlineStr">
        <is>
          <t>Supports</t>
        </is>
      </c>
      <c r="D113" s="14" t="inlineStr">
        <is>
          <t>Text Messaging</t>
        </is>
      </c>
      <c r="E113" s="14" t="inlineStr">
        <is>
          <t>New Blue Interactive</t>
        </is>
      </c>
      <c r="F113" s="14" t="inlineStr">
        <is>
          <t>Bethesda</t>
        </is>
      </c>
      <c r="G113" s="14" t="inlineStr">
        <is>
          <t>MD</t>
        </is>
      </c>
      <c r="H113" s="47" t="n">
        <v>4.54</v>
      </c>
      <c r="I113" s="14" t="inlineStr">
        <is>
          <t>Texting and phone calls</t>
        </is>
      </c>
      <c r="J113" s="14" t="inlineStr">
        <is>
          <t>2026-06-25</t>
        </is>
      </c>
    </row>
    <row r="114">
      <c r="A114" s="15" t="inlineStr">
        <is>
          <t>TOTAL</t>
        </is>
      </c>
      <c r="B114" s="20" t="n"/>
      <c r="C114" s="20" t="n"/>
      <c r="D114" s="20" t="n"/>
      <c r="E114" s="20" t="n"/>
      <c r="F114" s="20" t="n"/>
      <c r="G114" s="20" t="n"/>
      <c r="H114" s="48">
        <f>SUM(H20:H113)</f>
        <v/>
      </c>
      <c r="I114" s="20" t="n"/>
      <c r="J114" s="20" t="n"/>
    </row>
    <row r="115">
      <c r="A115" s="38" t="inlineStr">
        <is>
          <t>Check: itemized total minus the by-candidate aggregate on Outside Money (must be $0)</t>
        </is>
      </c>
      <c r="H115" s="39">
        <f>H114-'Outside Money'!D34</f>
        <v/>
      </c>
    </row>
  </sheetData>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2" t="n">
        <v>985643.72</v>
      </c>
      <c r="H7" s="42" t="n">
        <v>958873.74</v>
      </c>
      <c r="I7" s="42" t="n">
        <v>26769.98</v>
      </c>
      <c r="J7" s="42" t="n">
        <v>611185.92</v>
      </c>
      <c r="K7" s="42" t="n">
        <v>223856.6</v>
      </c>
      <c r="L7" s="42" t="n">
        <v>132142.37</v>
      </c>
      <c r="M7" s="42" t="n">
        <v>1722119.87</v>
      </c>
      <c r="N7" s="40">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2" t="n">
        <v>3740779.05</v>
      </c>
      <c r="H9" s="42" t="n">
        <v>3661738.3</v>
      </c>
      <c r="I9" s="42" t="n">
        <v>79040.75</v>
      </c>
      <c r="J9" s="42" t="n">
        <v>998798.1899999999</v>
      </c>
      <c r="K9" s="42" t="n">
        <v>231174.7</v>
      </c>
      <c r="L9" s="42" t="n">
        <v>600145.5600000001</v>
      </c>
      <c r="M9" s="42" t="n">
        <v>1165.62</v>
      </c>
      <c r="N9" s="40">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2" t="n">
        <v>6354578.69</v>
      </c>
      <c r="H11" s="42" t="n">
        <v>6432421.56</v>
      </c>
      <c r="I11" s="42" t="n">
        <v>2737.49</v>
      </c>
      <c r="J11" s="42" t="n">
        <v>2381481.34</v>
      </c>
      <c r="K11" s="42" t="n">
        <v>514762</v>
      </c>
      <c r="L11" s="42" t="n">
        <v>23268.88</v>
      </c>
      <c r="M11" s="42" t="n">
        <v>8764085.75</v>
      </c>
      <c r="N11" s="40">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2" t="n">
        <v>8960927.65</v>
      </c>
      <c r="H12" s="42" t="n">
        <v>8946230</v>
      </c>
      <c r="I12" s="42" t="n">
        <v>68659</v>
      </c>
      <c r="J12" s="42" t="n">
        <v>6604896.42</v>
      </c>
      <c r="K12" s="42" t="n">
        <v>1393265.46</v>
      </c>
      <c r="L12" s="42" t="n">
        <v>4568368.78</v>
      </c>
      <c r="M12" s="42" t="n">
        <v>10424863.22</v>
      </c>
      <c r="N12" s="40">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38"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3" t="inlineStr">
        <is>
          <t>CHART 1: all aligned money by cycle</t>
        </is>
      </c>
    </row>
    <row r="3">
      <c r="R3" s="34" t="inlineStr">
        <is>
          <t>Cycle</t>
        </is>
      </c>
      <c r="S3" s="34" t="inlineStr">
        <is>
          <t>Democratic side</t>
        </is>
      </c>
      <c r="T3" s="34" t="inlineStr">
        <is>
          <t>Republican side</t>
        </is>
      </c>
    </row>
    <row r="4">
      <c r="R4" s="5" t="n">
        <v>2018</v>
      </c>
      <c r="S4" s="35">
        <f>'Money vs Results'!E6</f>
        <v/>
      </c>
      <c r="T4" s="35">
        <f>'Money vs Results'!F6</f>
        <v/>
      </c>
    </row>
    <row r="5">
      <c r="R5" s="5" t="n">
        <v>2020</v>
      </c>
      <c r="S5" s="35">
        <f>'Money vs Results'!E7</f>
        <v/>
      </c>
      <c r="T5" s="35">
        <f>'Money vs Results'!F7</f>
        <v/>
      </c>
    </row>
    <row r="6">
      <c r="R6" s="5" t="n">
        <v>2022</v>
      </c>
      <c r="S6" s="35">
        <f>'Money vs Results'!E8</f>
        <v/>
      </c>
      <c r="T6" s="35">
        <f>'Money vs Results'!F8</f>
        <v/>
      </c>
    </row>
    <row r="7">
      <c r="R7" s="5" t="n">
        <v>2024</v>
      </c>
      <c r="S7" s="35">
        <f>'Money vs Results'!E9</f>
        <v/>
      </c>
      <c r="T7" s="35">
        <f>'Money vs Results'!F9</f>
        <v/>
      </c>
    </row>
    <row r="9">
      <c r="R9" s="33" t="inlineStr">
        <is>
          <t>CHART 2: candidate receipts by cycle</t>
        </is>
      </c>
    </row>
    <row r="10">
      <c r="R10" s="34" t="inlineStr">
        <is>
          <t>Cycle</t>
        </is>
      </c>
      <c r="S10" s="34" t="inlineStr">
        <is>
          <t>Democratic nominee</t>
        </is>
      </c>
      <c r="T10" s="34" t="inlineStr">
        <is>
          <t>Republican nominee</t>
        </is>
      </c>
    </row>
    <row r="11">
      <c r="R11" s="5" t="n">
        <v>2018</v>
      </c>
      <c r="S11" s="35">
        <f>'Money vs Results'!B6</f>
        <v/>
      </c>
      <c r="T11" s="35">
        <f>'Money vs Results'!C6</f>
        <v/>
      </c>
    </row>
    <row r="12">
      <c r="R12" s="5" t="n">
        <v>2020</v>
      </c>
      <c r="S12" s="35">
        <f>'Money vs Results'!B7</f>
        <v/>
      </c>
      <c r="T12" s="35">
        <f>'Money vs Results'!C7</f>
        <v/>
      </c>
    </row>
    <row r="13">
      <c r="R13" s="5" t="n">
        <v>2022</v>
      </c>
      <c r="S13" s="35">
        <f>'Money vs Results'!B8</f>
        <v/>
      </c>
      <c r="T13" s="35">
        <f>'Money vs Results'!C8</f>
        <v/>
      </c>
    </row>
    <row r="14">
      <c r="R14" s="5" t="n">
        <v>2024</v>
      </c>
      <c r="S14" s="35">
        <f>'Money vs Results'!B9</f>
        <v/>
      </c>
      <c r="T14" s="35">
        <f>'Money vs Results'!C9</f>
        <v/>
      </c>
    </row>
    <row r="16">
      <c r="R16" s="33" t="inlineStr">
        <is>
          <t>CHART 3: aligned money share vs vote share (Model B)</t>
        </is>
      </c>
    </row>
    <row r="17">
      <c r="R17" s="34" t="inlineStr">
        <is>
          <t>Cycle</t>
        </is>
      </c>
      <c r="S17" s="34" t="inlineStr">
        <is>
          <t>D share of all aligned money</t>
        </is>
      </c>
      <c r="T17" s="34"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3" t="inlineStr">
        <is>
          <t>CHART 4: receipts share vs vote share (Model A)</t>
        </is>
      </c>
    </row>
    <row r="24">
      <c r="R24" s="34" t="inlineStr">
        <is>
          <t>Cycle</t>
        </is>
      </c>
      <c r="S24" s="34" t="inlineStr">
        <is>
          <t>D share of candidate receipts</t>
        </is>
      </c>
      <c r="T24" s="34"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3" t="inlineStr">
        <is>
          <t>CHART 5: Democratic two-party vote share</t>
        </is>
      </c>
    </row>
    <row r="31">
      <c r="R31" s="34" t="inlineStr">
        <is>
          <t>Cycle</t>
        </is>
      </c>
      <c r="S31" s="34" t="inlineStr">
        <is>
          <t>D two-party vote share</t>
        </is>
      </c>
      <c r="T31" s="34"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3" t="inlineStr">
        <is>
          <t>CHART 6: candidate money vs outside money</t>
        </is>
      </c>
    </row>
    <row r="38">
      <c r="R38" s="34" t="inlineStr">
        <is>
          <t>Cycle</t>
        </is>
      </c>
      <c r="S38" s="34" t="inlineStr">
        <is>
          <t>Candidate committees</t>
        </is>
      </c>
      <c r="T38" s="34" t="inlineStr">
        <is>
          <t>Outside spending</t>
        </is>
      </c>
    </row>
    <row r="39">
      <c r="R39" s="5" t="n">
        <v>2018</v>
      </c>
      <c r="S39" s="35">
        <f>'Money vs Results'!B6+'Money vs Results'!C6</f>
        <v/>
      </c>
      <c r="T39" s="35">
        <f>('Money vs Results'!E6+'Money vs Results'!F6)-('Money vs Results'!B6+'Money vs Results'!C6)</f>
        <v/>
      </c>
    </row>
    <row r="40">
      <c r="R40" s="5" t="n">
        <v>2020</v>
      </c>
      <c r="S40" s="35">
        <f>'Money vs Results'!B7+'Money vs Results'!C7</f>
        <v/>
      </c>
      <c r="T40" s="35">
        <f>('Money vs Results'!E7+'Money vs Results'!F7)-('Money vs Results'!B7+'Money vs Results'!C7)</f>
        <v/>
      </c>
    </row>
    <row r="41">
      <c r="R41" s="5" t="n">
        <v>2022</v>
      </c>
      <c r="S41" s="35">
        <f>'Money vs Results'!B8+'Money vs Results'!C8</f>
        <v/>
      </c>
      <c r="T41" s="35">
        <f>('Money vs Results'!E8+'Money vs Results'!F8)-('Money vs Results'!B8+'Money vs Results'!C8)</f>
        <v/>
      </c>
    </row>
    <row r="42">
      <c r="R42" s="5" t="n">
        <v>2024</v>
      </c>
      <c r="S42" s="35">
        <f>'Money vs Results'!B9+'Money vs Results'!C9</f>
        <v/>
      </c>
      <c r="T42" s="35">
        <f>('Money vs Results'!E9+'Money vs Results'!F9)-('Money vs Results'!B9+'Money vs Results'!C9)</f>
        <v/>
      </c>
    </row>
    <row r="44">
      <c r="R44" s="33" t="inlineStr">
        <is>
          <t>CHART 7: receipts per vote received</t>
        </is>
      </c>
    </row>
    <row r="45">
      <c r="R45" s="34" t="inlineStr">
        <is>
          <t>Candidate</t>
        </is>
      </c>
      <c r="S45" s="34"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2.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2026-09-17T21:20:04Z</t>
        </is>
      </c>
    </row>
    <row r="5" ht="108" customHeight="1">
      <c r="A5" s="85" t="inlineStr">
        <is>
          <t>History, finance: OpenFEC API (finance); certified results from sources/results.json, retrieved 2026-09-17T15:59:59Z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2026-09-17T21:20:06Z</dcterms:created>
  <dcterms:modified xsi:type="dcterms:W3CDTF">2026-09-17T21:20:07Z</dcterms:modified>
</cp:coreProperties>
</file>