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4.xml" ContentType="application/vnd.openxmlformats-officedocument.spreadsheetml.worksheet+xml"/>
  <Override PartName="/xl/worksheets/sheet5.xml" ContentType="application/vnd.openxmlformats-officedocument.spreadsheetml.worksheet+xml"/>
  <Override PartName="/xl/comments/comment1.xml" ContentType="application/vnd.openxmlformats-officedocument.spreadsheetml.comments+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comments/comment2.xml" ContentType="application/vnd.openxmlformats-officedocument.spreadsheetml.comments+xml"/>
  <Override PartName="/xl/worksheets/sheet11.xml" ContentType="application/vnd.openxmlformats-officedocument.spreadsheetml.worksheet+xml"/>
  <Override PartName="/xl/drawings/drawing2.xml" ContentType="application/vnd.openxmlformats-officedocument.drawing+xml"/>
  <Override PartName="/xl/worksheets/sheet12.xml" ContentType="application/vnd.openxmlformats-officedocument.spreadsheetml.worksheet+xml"/>
  <Override PartName="/xl/worksheets/sheet13.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charts/chart15.xml" ContentType="application/vnd.openxmlformats-officedocument.drawingml.chart+xml"/>
  <Override PartName="/xl/charts/chart16.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Master Data" sheetId="2" state="visible" r:id="rId2"/>
    <sheet name="Charts" sheetId="3" state="visible" r:id="rId3"/>
    <sheet name="Money Sources" sheetId="4" state="visible" r:id="rId4"/>
    <sheet name="Candidate Totals" sheetId="5" state="visible" r:id="rId5"/>
    <sheet name="Outside Money" sheetId="6" state="visible" r:id="rId6"/>
    <sheet name="Spending Detail" sheetId="7" state="visible" r:id="rId7"/>
    <sheet name="Donor Detail" sheetId="8" state="visible" r:id="rId8"/>
    <sheet name="Outside Detail" sheetId="9" state="visible" r:id="rId9"/>
    <sheet name="History" sheetId="10" state="visible" r:id="rId10"/>
    <sheet name="History Charts" sheetId="11" state="visible" r:id="rId11"/>
    <sheet name="Money vs Results" sheetId="12" state="visible" r:id="rId12"/>
    <sheet name="Notes &amp; Sources" sheetId="13" state="visible" r:id="rId13"/>
  </sheets>
  <definedNames>
    <definedName name="_xlnm._FilterDatabase" localSheetId="1" hidden="1">'Master Data'!$A$4:$M$528</definedName>
  </definedNames>
  <calcPr calcId="124519" fullCalcOnLoad="1"/>
</workbook>
</file>

<file path=xl/styles.xml><?xml version="1.0" encoding="utf-8"?>
<styleSheet xmlns="http://schemas.openxmlformats.org/spreadsheetml/2006/main">
  <numFmts count="14">
    <numFmt numFmtId="164" formatCode="$#,##0;($#,##0);&quot;-&quot;"/>
    <numFmt numFmtId="165" formatCode="$#,##0.00;($#,##0.00);&quot;-&quot;"/>
    <numFmt numFmtId="166" formatCode="0.0%;(0.0%);&quot;-&quot;"/>
    <numFmt numFmtId="167" formatCode="#,##0;(#,##0);&quot;-&quot;"/>
    <numFmt numFmtId="168" formatCode="0.0&quot;pp&quot;;(0.0&quot;pp&quot;);&quot;-&quot;"/>
    <numFmt numFmtId="169" formatCode="0.00%;(0.00%);&quot;-&quot;"/>
    <numFmt numFmtId="170" formatCode="0&quot; mismatched&quot;"/>
    <numFmt numFmtId="171" formatCode="+0.0000;-0.0000;0.0000"/>
    <numFmt numFmtId="172" formatCode="0.0000"/>
    <numFmt numFmtId="173" formatCode="0.00000"/>
    <numFmt numFmtId="174" formatCode="0.000"/>
    <numFmt numFmtId="175" formatCode="+0.00&quot;pp&quot;;-0.00&quot;pp&quot;;0.00&quot;pp&quot;"/>
    <numFmt numFmtId="176" formatCode="+0.0000;-0.0000"/>
    <numFmt numFmtId="177" formatCode="&quot;p = &quot;0.000"/>
  </numFmts>
  <fonts count="16">
    <font>
      <name val="Calibri"/>
      <family val="2"/>
      <color theme="1"/>
      <sz val="11"/>
      <scheme val="minor"/>
    </font>
    <font>
      <name val="Arial"/>
      <b val="1"/>
      <color rgb="001F3864"/>
      <sz val="15"/>
    </font>
    <font>
      <name val="Arial"/>
      <i val="1"/>
      <color rgb="00595959"/>
      <sz val="9"/>
    </font>
    <font>
      <name val="Arial"/>
      <b val="1"/>
      <color rgb="00FFFFFF"/>
      <sz val="11"/>
    </font>
    <font>
      <name val="Arial"/>
      <b val="1"/>
      <color rgb="00FFFFFF"/>
      <sz val="9"/>
    </font>
    <font>
      <name val="Arial"/>
      <sz val="10"/>
    </font>
    <font>
      <name val="Arial"/>
      <color rgb="000000FF"/>
      <sz val="10"/>
    </font>
    <font>
      <name val="Arial"/>
      <b val="1"/>
      <sz val="10"/>
    </font>
    <font>
      <name val="Arial"/>
      <b val="1"/>
      <color rgb="001F3864"/>
      <sz val="10"/>
    </font>
    <font>
      <name val="Arial"/>
      <color rgb="00595959"/>
      <sz val="9"/>
    </font>
    <font>
      <name val="Arial"/>
      <i val="1"/>
      <sz val="10"/>
    </font>
    <font>
      <name val="Arial"/>
      <color rgb="00008000"/>
      <sz val="10"/>
    </font>
    <font>
      <name val="Arial"/>
      <b val="1"/>
      <color rgb="002E5FA3"/>
      <sz val="10"/>
    </font>
    <font>
      <name val="Arial"/>
      <b val="1"/>
      <color rgb="00C0392B"/>
      <sz val="10"/>
    </font>
    <font>
      <name val="Arial"/>
      <color rgb="00595959"/>
      <sz val="10"/>
    </font>
    <font>
      <name val="Arial"/>
      <b val="1"/>
      <color rgb="00C00000"/>
      <sz val="10"/>
    </font>
  </fonts>
  <fills count="8">
    <fill>
      <patternFill/>
    </fill>
    <fill>
      <patternFill patternType="gray125"/>
    </fill>
    <fill>
      <patternFill patternType="solid">
        <fgColor rgb="001F3864"/>
      </patternFill>
    </fill>
    <fill>
      <patternFill patternType="solid">
        <fgColor rgb="004472C4"/>
      </patternFill>
    </fill>
    <fill>
      <patternFill patternType="solid">
        <fgColor rgb="00D9E2F3"/>
      </patternFill>
    </fill>
    <fill>
      <patternFill patternType="solid">
        <fgColor rgb="00EAF3EA"/>
      </patternFill>
    </fill>
    <fill>
      <patternFill patternType="solid">
        <fgColor rgb="00F2F2F2"/>
      </patternFill>
    </fill>
    <fill>
      <patternFill patternType="solid">
        <fgColor rgb="00FFF2CC"/>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86">
    <xf numFmtId="0" fontId="0" fillId="0" borderId="0" pivotButton="0" quotePrefix="0" xfId="0"/>
    <xf numFmtId="0" fontId="1" fillId="0" borderId="0" pivotButton="0" quotePrefix="0" xfId="0"/>
    <xf numFmtId="0" fontId="2" fillId="0" borderId="0" pivotButton="0" quotePrefix="0" xfId="0"/>
    <xf numFmtId="0" fontId="3" fillId="2" borderId="0" pivotButton="0" quotePrefix="0" xfId="0"/>
    <xf numFmtId="0" fontId="0" fillId="2" borderId="0" pivotButton="0" quotePrefix="0" xfId="0"/>
    <xf numFmtId="0" fontId="5" fillId="0" borderId="0" pivotButton="0" quotePrefix="0" xfId="0"/>
    <xf numFmtId="0" fontId="15" fillId="0" borderId="0" applyAlignment="1" pivotButton="0" quotePrefix="0" xfId="0">
      <alignment horizontal="left"/>
    </xf>
    <xf numFmtId="0" fontId="9" fillId="0" borderId="0" pivotButton="0" quotePrefix="0" xfId="0"/>
    <xf numFmtId="0" fontId="7" fillId="0" borderId="0" applyAlignment="1" pivotButton="0" quotePrefix="0" xfId="0">
      <alignment horizontal="left"/>
    </xf>
    <xf numFmtId="0" fontId="5" fillId="0" borderId="0" applyAlignment="1" pivotButton="0" quotePrefix="0" xfId="0">
      <alignment horizontal="left"/>
    </xf>
    <xf numFmtId="0" fontId="4" fillId="3" borderId="1" applyAlignment="1" pivotButton="0" quotePrefix="0" xfId="0">
      <alignment horizontal="center" vertical="center" wrapText="1"/>
    </xf>
    <xf numFmtId="0" fontId="7" fillId="0" borderId="1" pivotButton="0" quotePrefix="0" xfId="0"/>
    <xf numFmtId="164" fontId="11" fillId="0" borderId="1" pivotButton="0" quotePrefix="0" xfId="0"/>
    <xf numFmtId="164" fontId="7" fillId="0" borderId="1" pivotButton="0" quotePrefix="0" xfId="0"/>
    <xf numFmtId="0" fontId="5" fillId="0" borderId="1" pivotButton="0" quotePrefix="0" xfId="0"/>
    <xf numFmtId="0" fontId="7" fillId="4" borderId="1" pivotButton="0" quotePrefix="0" xfId="0"/>
    <xf numFmtId="164" fontId="11" fillId="4" borderId="1" pivotButton="0" quotePrefix="0" xfId="0"/>
    <xf numFmtId="164" fontId="7" fillId="4" borderId="1" pivotButton="0" quotePrefix="0" xfId="0"/>
    <xf numFmtId="166" fontId="11" fillId="0" borderId="1" pivotButton="0" quotePrefix="0" xfId="0"/>
    <xf numFmtId="168" fontId="7" fillId="0" borderId="1" pivotButton="0" quotePrefix="0" xfId="0"/>
    <xf numFmtId="0" fontId="0" fillId="4" borderId="1" pivotButton="0" quotePrefix="0" xfId="0"/>
    <xf numFmtId="0" fontId="11" fillId="4" borderId="1" pivotButton="0" quotePrefix="0" xfId="0"/>
    <xf numFmtId="166" fontId="5" fillId="0" borderId="1" pivotButton="0" quotePrefix="0" xfId="0"/>
    <xf numFmtId="0" fontId="11" fillId="0" borderId="1" pivotButton="0" quotePrefix="0" xfId="0"/>
    <xf numFmtId="0" fontId="4" fillId="3" borderId="1" pivotButton="0" quotePrefix="0" xfId="0"/>
    <xf numFmtId="0" fontId="4" fillId="3" borderId="1" applyAlignment="1" pivotButton="0" quotePrefix="0" xfId="0">
      <alignment horizontal="center"/>
    </xf>
    <xf numFmtId="169" fontId="11" fillId="0" borderId="1" pivotButton="0" quotePrefix="0" xfId="0"/>
    <xf numFmtId="0" fontId="7" fillId="0" borderId="1" applyAlignment="1" pivotButton="0" quotePrefix="0" xfId="0">
      <alignment horizontal="center"/>
    </xf>
    <xf numFmtId="176" fontId="8" fillId="0" borderId="1" pivotButton="0" quotePrefix="0" xfId="0"/>
    <xf numFmtId="177" fontId="5" fillId="0" borderId="1" pivotButton="0" quotePrefix="0" xfId="0"/>
    <xf numFmtId="0" fontId="5" fillId="7" borderId="0" applyAlignment="1" pivotButton="0" quotePrefix="0" xfId="0">
      <alignment vertical="top" wrapText="1"/>
    </xf>
    <xf numFmtId="0" fontId="0" fillId="7" borderId="0" pivotButton="0" quotePrefix="0" xfId="0"/>
    <xf numFmtId="0" fontId="9" fillId="0" borderId="0" applyAlignment="1" pivotButton="0" quotePrefix="0" xfId="0">
      <alignment vertical="top" wrapText="1"/>
    </xf>
    <xf numFmtId="165" fontId="6" fillId="0" borderId="0" pivotButton="0" quotePrefix="0" xfId="0"/>
    <xf numFmtId="167" fontId="6" fillId="0" borderId="0" pivotButton="0" quotePrefix="0" xfId="0"/>
    <xf numFmtId="0" fontId="8" fillId="0" borderId="0" pivotButton="0" quotePrefix="0" xfId="0"/>
    <xf numFmtId="0" fontId="4" fillId="0" borderId="0" pivotButton="0" quotePrefix="0" xfId="0"/>
    <xf numFmtId="164" fontId="11" fillId="0" borderId="0" pivotButton="0" quotePrefix="0" xfId="0"/>
    <xf numFmtId="0" fontId="11" fillId="0" borderId="0" pivotButton="0" quotePrefix="0" xfId="0"/>
    <xf numFmtId="166" fontId="7" fillId="4" borderId="1" pivotButton="0" quotePrefix="0" xfId="0"/>
    <xf numFmtId="0" fontId="10" fillId="0" borderId="0" pivotButton="0" quotePrefix="0" xfId="0"/>
    <xf numFmtId="165" fontId="10" fillId="0" borderId="0" pivotButton="0" quotePrefix="0" xfId="0"/>
    <xf numFmtId="164" fontId="5" fillId="0" borderId="1" pivotButton="0" quotePrefix="0" xfId="0"/>
    <xf numFmtId="168" fontId="5" fillId="0" borderId="1" pivotButton="0" quotePrefix="0" xfId="0"/>
    <xf numFmtId="164" fontId="6" fillId="0" borderId="1" pivotButton="0" quotePrefix="0" xfId="0"/>
    <xf numFmtId="0" fontId="8" fillId="0" borderId="0" applyAlignment="1" pivotButton="0" quotePrefix="0" xfId="0">
      <alignment vertical="top" wrapText="1"/>
    </xf>
    <xf numFmtId="0" fontId="5" fillId="0" borderId="1" applyAlignment="1" pivotButton="0" quotePrefix="0" xfId="0">
      <alignment horizontal="center"/>
    </xf>
    <xf numFmtId="165" fontId="6" fillId="0" borderId="1" pivotButton="0" quotePrefix="0" xfId="0"/>
    <xf numFmtId="165" fontId="7" fillId="4" borderId="1" pivotButton="0" quotePrefix="0" xfId="0"/>
    <xf numFmtId="167" fontId="6" fillId="0" borderId="1" pivotButton="0" quotePrefix="0" xfId="0"/>
    <xf numFmtId="167" fontId="7" fillId="4" borderId="1" pivotButton="0" quotePrefix="0" xfId="0"/>
    <xf numFmtId="0" fontId="6" fillId="0" borderId="1" pivotButton="0" quotePrefix="0" xfId="0"/>
    <xf numFmtId="0" fontId="0" fillId="0" borderId="1" pivotButton="0" quotePrefix="0" xfId="0"/>
    <xf numFmtId="164" fontId="6" fillId="4" borderId="1" pivotButton="0" quotePrefix="0" xfId="0"/>
    <xf numFmtId="167" fontId="5" fillId="0" borderId="1" pivotButton="0" quotePrefix="0" xfId="0"/>
    <xf numFmtId="0" fontId="6" fillId="5" borderId="1" pivotButton="0" quotePrefix="0" xfId="0"/>
    <xf numFmtId="0" fontId="6" fillId="5" borderId="1" applyAlignment="1" pivotButton="0" quotePrefix="0" xfId="0">
      <alignment vertical="top" wrapText="1"/>
    </xf>
    <xf numFmtId="0" fontId="12" fillId="5" borderId="1" applyAlignment="1" pivotButton="0" quotePrefix="0" xfId="0">
      <alignment horizontal="center"/>
    </xf>
    <xf numFmtId="0" fontId="5" fillId="5" borderId="1" pivotButton="0" quotePrefix="0" xfId="0"/>
    <xf numFmtId="164" fontId="6" fillId="5" borderId="1" pivotButton="0" quotePrefix="0" xfId="0"/>
    <xf numFmtId="164" fontId="5" fillId="5" borderId="1" pivotButton="0" quotePrefix="0" xfId="0"/>
    <xf numFmtId="167" fontId="6" fillId="5" borderId="1" pivotButton="0" quotePrefix="0" xfId="0"/>
    <xf numFmtId="169" fontId="5" fillId="5" borderId="1" pivotButton="0" quotePrefix="0" xfId="0"/>
    <xf numFmtId="0" fontId="7" fillId="5" borderId="1" applyAlignment="1" pivotButton="0" quotePrefix="0" xfId="0">
      <alignment horizontal="center"/>
    </xf>
    <xf numFmtId="165" fontId="5" fillId="5" borderId="1" pivotButton="0" quotePrefix="0" xfId="0"/>
    <xf numFmtId="0" fontId="6" fillId="0" borderId="1" applyAlignment="1" pivotButton="0" quotePrefix="0" xfId="0">
      <alignment vertical="top" wrapText="1"/>
    </xf>
    <xf numFmtId="0" fontId="13" fillId="0" borderId="1" applyAlignment="1" pivotButton="0" quotePrefix="0" xfId="0">
      <alignment horizontal="center"/>
    </xf>
    <xf numFmtId="169" fontId="5" fillId="0" borderId="1" pivotButton="0" quotePrefix="0" xfId="0"/>
    <xf numFmtId="0" fontId="14" fillId="0" borderId="1" applyAlignment="1" pivotButton="0" quotePrefix="0" xfId="0">
      <alignment horizontal="center"/>
    </xf>
    <xf numFmtId="165" fontId="5" fillId="0" borderId="1" pivotButton="0" quotePrefix="0" xfId="0"/>
    <xf numFmtId="0" fontId="12" fillId="0" borderId="1" applyAlignment="1" pivotButton="0" quotePrefix="0" xfId="0">
      <alignment horizontal="center"/>
    </xf>
    <xf numFmtId="0" fontId="13" fillId="5" borderId="1" applyAlignment="1" pivotButton="0" quotePrefix="0" xfId="0">
      <alignment horizontal="center"/>
    </xf>
    <xf numFmtId="167" fontId="6" fillId="6" borderId="1" pivotButton="0" quotePrefix="0" xfId="0"/>
    <xf numFmtId="169" fontId="5" fillId="6" borderId="1" pivotButton="0" quotePrefix="0" xfId="0"/>
    <xf numFmtId="170" fontId="10" fillId="0" borderId="0" applyAlignment="1" pivotButton="0" quotePrefix="0" xfId="0">
      <alignment horizontal="center"/>
    </xf>
    <xf numFmtId="169" fontId="11" fillId="0" borderId="0" pivotButton="0" quotePrefix="0" xfId="0"/>
    <xf numFmtId="169" fontId="5" fillId="0" borderId="0" pivotButton="0" quotePrefix="0" xfId="0"/>
    <xf numFmtId="165" fontId="11" fillId="0" borderId="0" pivotButton="0" quotePrefix="0" xfId="0"/>
    <xf numFmtId="1" fontId="5" fillId="0" borderId="1" pivotButton="0" quotePrefix="0" xfId="0"/>
    <xf numFmtId="171" fontId="5" fillId="0" borderId="1" pivotButton="0" quotePrefix="0" xfId="0"/>
    <xf numFmtId="172" fontId="5" fillId="0" borderId="1" pivotButton="0" quotePrefix="0" xfId="0"/>
    <xf numFmtId="173" fontId="5" fillId="0" borderId="1" pivotButton="0" quotePrefix="0" xfId="0"/>
    <xf numFmtId="174" fontId="5" fillId="0" borderId="1" pivotButton="0" quotePrefix="0" xfId="0"/>
    <xf numFmtId="0" fontId="15" fillId="0" borderId="1" pivotButton="0" quotePrefix="0" xfId="0"/>
    <xf numFmtId="175" fontId="5" fillId="0" borderId="1" pivotButton="0" quotePrefix="0" xfId="0"/>
    <xf numFmtId="0" fontId="5"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styles" Target="styles.xml" Id="rId14" /><Relationship Type="http://schemas.openxmlformats.org/officeDocument/2006/relationships/theme" Target="theme/theme1.xml" Id="rId15" /></Relationships>
</file>

<file path=xl/charts/chart1.xml><?xml version="1.0" encoding="utf-8"?>
<chartSpace xmlns:a="http://schemas.openxmlformats.org/drawingml/2006/main" xmlns="http://schemas.openxmlformats.org/drawingml/2006/chart">
  <chart>
    <title>
      <tx>
        <rich>
          <a:bodyPr/>
          <a:p>
            <a:pPr>
              <a:defRPr/>
            </a:pPr>
            <a:r>
              <a:t>1. Receipts, spending and cash on hand</a:t>
            </a:r>
          </a:p>
        </rich>
      </tx>
    </title>
    <plotArea>
      <barChart>
        <barDir val="col"/>
        <grouping val="clustered"/>
        <ser>
          <idx val="0"/>
          <order val="0"/>
          <tx>
            <strRef>
              <f>'Charts'!S3</f>
            </strRef>
          </tx>
          <spPr>
            <a:solidFill>
              <a:srgbClr val="2E5FA3"/>
            </a:solidFill>
            <a:ln>
              <a:solidFill>
                <a:srgbClr val="2E5FA3"/>
              </a:solidFill>
              <a:prstDash val="solid"/>
            </a:ln>
          </spPr>
          <cat>
            <numRef>
              <f>'Charts'!$R$4:$R$6</f>
            </numRef>
          </cat>
          <val>
            <numRef>
              <f>'Charts'!$S$4:$S$6</f>
            </numRef>
          </val>
        </ser>
        <ser>
          <idx val="1"/>
          <order val="1"/>
          <tx>
            <strRef>
              <f>'Charts'!T3</f>
            </strRef>
          </tx>
          <spPr>
            <a:solidFill>
              <a:srgbClr val="C0392B"/>
            </a:solidFill>
            <a:ln>
              <a:solidFill>
                <a:srgbClr val="C0392B"/>
              </a:solidFill>
              <a:prstDash val="solid"/>
            </a:ln>
          </spPr>
          <cat>
            <numRef>
              <f>'Charts'!$R$4:$R$6</f>
            </numRef>
          </cat>
          <val>
            <numRef>
              <f>'Charts'!$T$4:$T$6</f>
            </numRef>
          </val>
        </ser>
        <gapWidth val="150"/>
        <axId val="10"/>
        <axId val="100"/>
      </barChart>
      <catAx>
        <axId val="10"/>
        <scaling>
          <orientation val="minMax"/>
        </scaling>
        <delete val="0"/>
        <axPos val="l"/>
        <majorTickMark val="none"/>
        <minorTickMark val="none"/>
        <crossAx val="100"/>
        <lblOffset val="100"/>
      </catAx>
      <valAx>
        <axId val="100"/>
        <scaling>
          <orientation val="minMax"/>
        </scaling>
        <delete val="0"/>
        <axPos val="l"/>
        <majorGridlines>
          <spPr>
            <a:ln>
              <a:prstDash val="solid"/>
            </a:ln>
          </spPr>
        </majorGridlines>
        <title>
          <tx>
            <rich>
              <a:bodyPr/>
              <a:p>
                <a:pPr>
                  <a:defRPr/>
                </a:pPr>
                <a:r>
                  <a:t>US dollars</a:t>
                </a:r>
              </a:p>
            </rich>
          </tx>
        </title>
        <numFmt formatCode="$#,##0.0,,&quot;M&quot;" sourceLinked="0"/>
        <majorTickMark val="none"/>
        <minorTickMark val="none"/>
        <crossAx val="10"/>
      </valAx>
    </plotArea>
    <legend>
      <legendPos val="r"/>
    </legend>
    <plotVisOnly val="1"/>
    <dispBlanksAs val="gap"/>
  </chart>
</chartSpace>
</file>

<file path=xl/charts/chart2.xml><?xml version="1.0" encoding="utf-8"?>
<chartSpace xmlns:a="http://schemas.openxmlformats.org/drawingml/2006/main" xmlns="http://schemas.openxmlformats.org/drawingml/2006/chart">
  <chart>
    <title>
      <tx>
        <rich>
          <a:bodyPr/>
          <a:p>
            <a:pPr>
              <a:defRPr/>
            </a:pPr>
            <a:r>
              <a:t>2. Where each nominee's receipts came from</a:t>
            </a:r>
          </a:p>
        </rich>
      </tx>
    </title>
    <plotArea>
      <barChart>
        <barDir val="col"/>
        <grouping val="stacked"/>
        <ser>
          <idx val="0"/>
          <order val="0"/>
          <tx>
            <strRef>
              <f>'Charts'!S9</f>
            </strRef>
          </tx>
          <spPr>
            <a:solidFill>
              <a:srgbClr val="1F4E79"/>
            </a:solidFill>
            <a:ln>
              <a:solidFill>
                <a:srgbClr val="1F4E79"/>
              </a:solidFill>
              <a:prstDash val="solid"/>
            </a:ln>
          </spPr>
          <cat>
            <numRef>
              <f>'Charts'!$R$10:$R$11</f>
            </numRef>
          </cat>
          <val>
            <numRef>
              <f>'Charts'!$S$10:$S$11</f>
            </numRef>
          </val>
        </ser>
        <ser>
          <idx val="1"/>
          <order val="1"/>
          <tx>
            <strRef>
              <f>'Charts'!T9</f>
            </strRef>
          </tx>
          <spPr>
            <a:solidFill>
              <a:srgbClr val="2E75B6"/>
            </a:solidFill>
            <a:ln>
              <a:solidFill>
                <a:srgbClr val="2E75B6"/>
              </a:solidFill>
              <a:prstDash val="solid"/>
            </a:ln>
          </spPr>
          <cat>
            <numRef>
              <f>'Charts'!$R$10:$R$11</f>
            </numRef>
          </cat>
          <val>
            <numRef>
              <f>'Charts'!$T$10:$T$11</f>
            </numRef>
          </val>
        </ser>
        <ser>
          <idx val="2"/>
          <order val="2"/>
          <tx>
            <strRef>
              <f>'Charts'!U9</f>
            </strRef>
          </tx>
          <spPr>
            <a:solidFill>
              <a:srgbClr val="7EA6D9"/>
            </a:solidFill>
            <a:ln>
              <a:solidFill>
                <a:srgbClr val="7EA6D9"/>
              </a:solidFill>
              <a:prstDash val="solid"/>
            </a:ln>
          </spPr>
          <cat>
            <numRef>
              <f>'Charts'!$R$10:$R$11</f>
            </numRef>
          </cat>
          <val>
            <numRef>
              <f>'Charts'!$U$10:$U$11</f>
            </numRef>
          </val>
        </ser>
        <ser>
          <idx val="3"/>
          <order val="3"/>
          <tx>
            <strRef>
              <f>'Charts'!V9</f>
            </strRef>
          </tx>
          <spPr>
            <a:solidFill>
              <a:srgbClr val="A9C6E8"/>
            </a:solidFill>
            <a:ln>
              <a:solidFill>
                <a:srgbClr val="A9C6E8"/>
              </a:solidFill>
              <a:prstDash val="solid"/>
            </a:ln>
          </spPr>
          <cat>
            <numRef>
              <f>'Charts'!$R$10:$R$11</f>
            </numRef>
          </cat>
          <val>
            <numRef>
              <f>'Charts'!$V$10:$V$11</f>
            </numRef>
          </val>
        </ser>
        <ser>
          <idx val="4"/>
          <order val="4"/>
          <tx>
            <strRef>
              <f>'Charts'!W9</f>
            </strRef>
          </tx>
          <spPr>
            <a:solidFill>
              <a:srgbClr val="E8A33D"/>
            </a:solidFill>
            <a:ln>
              <a:solidFill>
                <a:srgbClr val="E8A33D"/>
              </a:solidFill>
              <a:prstDash val="solid"/>
            </a:ln>
          </spPr>
          <cat>
            <numRef>
              <f>'Charts'!$R$10:$R$11</f>
            </numRef>
          </cat>
          <val>
            <numRef>
              <f>'Charts'!$W$10:$W$11</f>
            </numRef>
          </val>
        </ser>
        <ser>
          <idx val="5"/>
          <order val="5"/>
          <tx>
            <strRef>
              <f>'Charts'!X9</f>
            </strRef>
          </tx>
          <spPr>
            <a:solidFill>
              <a:srgbClr val="7F7F7F"/>
            </a:solidFill>
            <a:ln>
              <a:solidFill>
                <a:srgbClr val="7F7F7F"/>
              </a:solidFill>
              <a:prstDash val="solid"/>
            </a:ln>
          </spPr>
          <cat>
            <numRef>
              <f>'Charts'!$R$10:$R$11</f>
            </numRef>
          </cat>
          <val>
            <numRef>
              <f>'Charts'!$X$10:$X$11</f>
            </numRef>
          </val>
        </ser>
        <ser>
          <idx val="6"/>
          <order val="6"/>
          <tx>
            <strRef>
              <f>'Charts'!Y9</f>
            </strRef>
          </tx>
          <spPr>
            <a:solidFill>
              <a:srgbClr val="D9D9D9"/>
            </a:solidFill>
            <a:ln>
              <a:solidFill>
                <a:srgbClr val="D9D9D9"/>
              </a:solidFill>
              <a:prstDash val="solid"/>
            </a:ln>
          </spPr>
          <cat>
            <numRef>
              <f>'Charts'!$R$10:$R$11</f>
            </numRef>
          </cat>
          <val>
            <numRef>
              <f>'Charts'!$Y$10:$Y$11</f>
            </numRef>
          </val>
        </ser>
        <gapWidth val="150"/>
        <overlap val="100"/>
        <axId val="10"/>
        <axId val="100"/>
      </barChart>
      <catAx>
        <axId val="10"/>
        <scaling>
          <orientation val="minMax"/>
        </scaling>
        <delete val="0"/>
        <axPos val="l"/>
        <majorTickMark val="none"/>
        <minorTickMark val="none"/>
        <crossAx val="100"/>
        <lblOffset val="100"/>
      </catAx>
      <valAx>
        <axId val="100"/>
        <scaling>
          <orientation val="minMax"/>
        </scaling>
        <delete val="0"/>
        <axPos val="l"/>
        <majorGridlines>
          <spPr>
            <a:ln>
              <a:prstDash val="solid"/>
            </a:ln>
          </spPr>
        </majorGridlines>
        <title>
          <tx>
            <rich>
              <a:bodyPr/>
              <a:p>
                <a:pPr>
                  <a:defRPr/>
                </a:pPr>
                <a:r>
                  <a:t>US dollars</a:t>
                </a:r>
              </a:p>
            </rich>
          </tx>
        </title>
        <numFmt formatCode="$#,##0.0,,&quot;M&quot;" sourceLinked="0"/>
        <majorTickMark val="none"/>
        <minorTickMark val="none"/>
        <crossAx val="10"/>
      </valAx>
    </plotArea>
    <legend>
      <legendPos val="r"/>
    </legend>
    <plotVisOnly val="1"/>
    <dispBlanksAs val="gap"/>
  </chart>
</chartSpace>
</file>

<file path=xl/charts/chart3.xml><?xml version="1.0" encoding="utf-8"?>
<chartSpace xmlns:a="http://schemas.openxmlformats.org/drawingml/2006/main" xmlns="http://schemas.openxmlformats.org/drawingml/2006/chart">
  <chart>
    <title>
      <tx>
        <rich>
          <a:bodyPr/>
          <a:p>
            <a:pPr>
              <a:defRPr/>
            </a:pPr>
            <a:r>
              <a:t>3. The headline gap is mostly one committee transfer</a:t>
            </a:r>
          </a:p>
        </rich>
      </tx>
    </title>
    <plotArea>
      <barChart>
        <barDir val="col"/>
        <grouping val="clustered"/>
        <ser>
          <idx val="0"/>
          <order val="0"/>
          <tx>
            <strRef>
              <f>'Charts'!S14</f>
            </strRef>
          </tx>
          <spPr>
            <a:solidFill>
              <a:srgbClr val="2E5FA3"/>
            </a:solidFill>
            <a:ln>
              <a:solidFill>
                <a:srgbClr val="2E5FA3"/>
              </a:solidFill>
              <a:prstDash val="solid"/>
            </a:ln>
          </spPr>
          <cat>
            <numRef>
              <f>'Charts'!$R$15:$R$16</f>
            </numRef>
          </cat>
          <val>
            <numRef>
              <f>'Charts'!$S$15:$S$16</f>
            </numRef>
          </val>
        </ser>
        <ser>
          <idx val="1"/>
          <order val="1"/>
          <tx>
            <strRef>
              <f>'Charts'!T14</f>
            </strRef>
          </tx>
          <spPr>
            <a:solidFill>
              <a:srgbClr val="C0392B"/>
            </a:solidFill>
            <a:ln>
              <a:solidFill>
                <a:srgbClr val="C0392B"/>
              </a:solidFill>
              <a:prstDash val="solid"/>
            </a:ln>
          </spPr>
          <cat>
            <numRef>
              <f>'Charts'!$R$15:$R$16</f>
            </numRef>
          </cat>
          <val>
            <numRef>
              <f>'Charts'!$T$15:$T$16</f>
            </numRef>
          </val>
        </ser>
        <gapWidth val="150"/>
        <axId val="10"/>
        <axId val="100"/>
      </barChart>
      <catAx>
        <axId val="10"/>
        <scaling>
          <orientation val="minMax"/>
        </scaling>
        <delete val="0"/>
        <axPos val="l"/>
        <majorTickMark val="none"/>
        <minorTickMark val="none"/>
        <crossAx val="100"/>
        <lblOffset val="100"/>
      </catAx>
      <valAx>
        <axId val="100"/>
        <scaling>
          <orientation val="minMax"/>
        </scaling>
        <delete val="0"/>
        <axPos val="l"/>
        <majorGridlines>
          <spPr>
            <a:ln>
              <a:prstDash val="solid"/>
            </a:ln>
          </spPr>
        </majorGridlines>
        <title>
          <tx>
            <rich>
              <a:bodyPr/>
              <a:p>
                <a:pPr>
                  <a:defRPr/>
                </a:pPr>
                <a:r>
                  <a:t>US dollars</a:t>
                </a:r>
              </a:p>
            </rich>
          </tx>
        </title>
        <numFmt formatCode="$#,##0.0,,&quot;M&quot;" sourceLinked="0"/>
        <majorTickMark val="none"/>
        <minorTickMark val="none"/>
        <crossAx val="10"/>
      </valAx>
    </plotArea>
    <legend>
      <legendPos val="r"/>
    </legend>
    <plotVisOnly val="1"/>
    <dispBlanksAs val="gap"/>
  </chart>
</chartSpace>
</file>

<file path=xl/charts/chart4.xml><?xml version="1.0" encoding="utf-8"?>
<chartSpace xmlns:a="http://schemas.openxmlformats.org/drawingml/2006/main" xmlns="http://schemas.openxmlformats.org/drawingml/2006/chart">
  <chart>
    <title>
      <tx>
        <rich>
          <a:bodyPr/>
          <a:p>
            <a:pPr>
              <a:defRPr/>
            </a:pPr>
            <a:r>
              <a:t>4. The ten largest outside spenders</a:t>
            </a:r>
          </a:p>
        </rich>
      </tx>
    </title>
    <plotArea>
      <barChart>
        <barDir val="bar"/>
        <grouping val="clustered"/>
        <ser>
          <idx val="0"/>
          <order val="0"/>
          <tx>
            <strRef>
              <f>'Charts'!S19</f>
            </strRef>
          </tx>
          <spPr>
            <a:solidFill>
              <a:srgbClr val="1F4E79"/>
            </a:solidFill>
            <a:ln>
              <a:solidFill>
                <a:srgbClr val="1F4E79"/>
              </a:solidFill>
              <a:prstDash val="solid"/>
            </a:ln>
          </spPr>
          <cat>
            <numRef>
              <f>'Charts'!$R$20:$R$29</f>
            </numRef>
          </cat>
          <val>
            <numRef>
              <f>'Charts'!$S$20:$S$29</f>
            </numRef>
          </val>
        </ser>
        <gapWidth val="150"/>
        <axId val="10"/>
        <axId val="100"/>
      </barChart>
      <catAx>
        <axId val="10"/>
        <scaling>
          <orientation val="minMax"/>
        </scaling>
        <delete val="0"/>
        <axPos val="l"/>
        <title>
          <tx>
            <rich>
              <a:bodyPr/>
              <a:p>
                <a:pPr>
                  <a:defRPr/>
                </a:pPr>
                <a:r>
                  <a:t>US dollars</a:t>
                </a:r>
              </a:p>
            </rich>
          </tx>
        </title>
        <numFmt formatCode="$#,##0,&quot;K&quot;" sourceLinked="0"/>
        <majorTickMark val="none"/>
        <minorTickMark val="none"/>
        <crossAx val="100"/>
        <lblOffset val="100"/>
      </catAx>
      <valAx>
        <axId val="100"/>
        <scaling>
          <orientation val="minMax"/>
        </scaling>
        <delete val="0"/>
        <axPos val="l"/>
        <majorGridlines>
          <spPr>
            <a:ln>
              <a:prstDash val="solid"/>
            </a:ln>
          </spPr>
        </majorGridlines>
        <majorTickMark val="none"/>
        <minorTickMark val="none"/>
        <crossAx val="10"/>
      </valAx>
    </plotArea>
    <plotVisOnly val="1"/>
    <dispBlanksAs val="gap"/>
  </chart>
</chartSpace>
</file>

<file path=xl/charts/chart5.xml><?xml version="1.0" encoding="utf-8"?>
<chartSpace xmlns:a="http://schemas.openxmlformats.org/drawingml/2006/main" xmlns="http://schemas.openxmlformats.org/drawingml/2006/chart">
  <chart>
    <title>
      <tx>
        <rich>
          <a:bodyPr/>
          <a:p>
            <a:pPr>
              <a:defRPr/>
            </a:pPr>
            <a:r>
              <a:t>5. Outside spending by target and stance</a:t>
            </a:r>
          </a:p>
        </rich>
      </tx>
    </title>
    <plotArea>
      <barChart>
        <barDir val="col"/>
        <grouping val="clustered"/>
        <ser>
          <idx val="0"/>
          <order val="0"/>
          <tx>
            <strRef>
              <f>'Charts'!S32</f>
            </strRef>
          </tx>
          <spPr>
            <a:solidFill>
              <a:srgbClr val="1F4E79"/>
            </a:solidFill>
            <a:ln>
              <a:solidFill>
                <a:srgbClr val="1F4E79"/>
              </a:solidFill>
              <a:prstDash val="solid"/>
            </a:ln>
          </spPr>
          <cat>
            <numRef>
              <f>'Charts'!$R$33:$R$36</f>
            </numRef>
          </cat>
          <val>
            <numRef>
              <f>'Charts'!$S$33:$S$36</f>
            </numRef>
          </val>
        </ser>
        <gapWidth val="150"/>
        <axId val="10"/>
        <axId val="100"/>
      </barChart>
      <catAx>
        <axId val="10"/>
        <scaling>
          <orientation val="minMax"/>
        </scaling>
        <delete val="0"/>
        <axPos val="l"/>
        <majorTickMark val="none"/>
        <minorTickMark val="none"/>
        <crossAx val="100"/>
        <lblOffset val="100"/>
      </catAx>
      <valAx>
        <axId val="100"/>
        <scaling>
          <orientation val="minMax"/>
        </scaling>
        <delete val="0"/>
        <axPos val="l"/>
        <majorGridlines>
          <spPr>
            <a:ln>
              <a:prstDash val="solid"/>
            </a:ln>
          </spPr>
        </majorGridlines>
        <title>
          <tx>
            <rich>
              <a:bodyPr/>
              <a:p>
                <a:pPr>
                  <a:defRPr/>
                </a:pPr>
                <a:r>
                  <a:t>US dollars</a:t>
                </a:r>
              </a:p>
            </rich>
          </tx>
        </title>
        <numFmt formatCode="$#,##0.0,,&quot;M&quot;" sourceLinked="0"/>
        <majorTickMark val="none"/>
        <minorTickMark val="none"/>
        <crossAx val="10"/>
      </valAx>
    </plotArea>
    <plotVisOnly val="1"/>
    <dispBlanksAs val="gap"/>
  </chart>
</chartSpace>
</file>

<file path=xl/charts/chart6.xml><?xml version="1.0" encoding="utf-8"?>
<chartSpace xmlns:a="http://schemas.openxmlformats.org/drawingml/2006/main" xmlns="http://schemas.openxmlformats.org/drawingml/2006/chart">
  <chart>
    <title>
      <tx>
        <rich>
          <a:bodyPr/>
          <a:p>
            <a:pPr>
              <a:defRPr/>
            </a:pPr>
            <a:r>
              <a:t>6. Outside spending is concentrated</a:t>
            </a:r>
          </a:p>
        </rich>
      </tx>
    </title>
    <plotArea>
      <pieChart>
        <varyColors val="1"/>
        <ser>
          <idx val="0"/>
          <order val="0"/>
          <tx>
            <strRef>
              <f>'Charts'!S39</f>
            </strRef>
          </tx>
          <spPr>
            <a:ln>
              <a:prstDash val="solid"/>
            </a:ln>
          </spPr>
          <dPt>
            <idx val="0"/>
            <spPr>
              <a:solidFill>
                <a:srgbClr val="1F4E79"/>
              </a:solidFill>
              <a:ln>
                <a:prstDash val="solid"/>
              </a:ln>
            </spPr>
          </dPt>
          <dPt>
            <idx val="1"/>
            <spPr>
              <a:solidFill>
                <a:srgbClr val="C0392B"/>
              </a:solidFill>
              <a:ln>
                <a:prstDash val="solid"/>
              </a:ln>
            </spPr>
          </dPt>
          <dPt>
            <idx val="2"/>
            <spPr>
              <a:solidFill>
                <a:srgbClr val="2E75B6"/>
              </a:solidFill>
              <a:ln>
                <a:prstDash val="solid"/>
              </a:ln>
            </spPr>
          </dPt>
          <dPt>
            <idx val="3"/>
            <spPr>
              <a:solidFill>
                <a:srgbClr val="7EA6D9"/>
              </a:solidFill>
              <a:ln>
                <a:prstDash val="solid"/>
              </a:ln>
            </spPr>
          </dPt>
          <dPt>
            <idx val="4"/>
            <spPr>
              <a:solidFill>
                <a:srgbClr val="5B9BD5"/>
              </a:solidFill>
              <a:ln>
                <a:prstDash val="solid"/>
              </a:ln>
            </spPr>
          </dPt>
          <dPt>
            <idx val="5"/>
            <spPr>
              <a:solidFill>
                <a:srgbClr val="A9C6E8"/>
              </a:solidFill>
              <a:ln>
                <a:prstDash val="solid"/>
              </a:ln>
            </spPr>
          </dPt>
          <dPt>
            <idx val="6"/>
            <spPr>
              <a:solidFill>
                <a:srgbClr val="D9D9D9"/>
              </a:solidFill>
              <a:ln>
                <a:prstDash val="solid"/>
              </a:ln>
            </spPr>
          </dPt>
          <cat>
            <numRef>
              <f>'Charts'!$R$40:$R$46</f>
            </numRef>
          </cat>
          <val>
            <numRef>
              <f>'Charts'!$S$40:$S$46</f>
            </numRef>
          </val>
        </ser>
        <dLbls>
          <showPercent val="1"/>
        </dLbls>
        <firstSliceAng val="0"/>
      </pieChart>
    </plotArea>
    <legend>
      <legendPos val="r"/>
    </legend>
    <plotVisOnly val="1"/>
    <dispBlanksAs val="gap"/>
  </chart>
</chartSpace>
</file>

<file path=xl/charts/chart7.xml><?xml version="1.0" encoding="utf-8"?>
<chartSpace xmlns:a="http://schemas.openxmlformats.org/drawingml/2006/main" xmlns="http://schemas.openxmlformats.org/drawingml/2006/chart">
  <chart>
    <title>
      <tx>
        <rich>
          <a:bodyPr/>
          <a:p>
            <a:pPr>
              <a:defRPr/>
            </a:pPr>
            <a:r>
              <a:t>7. What the campaigns spent on, largest categories</a:t>
            </a:r>
          </a:p>
        </rich>
      </tx>
    </title>
    <plotArea>
      <barChart>
        <barDir val="bar"/>
        <grouping val="clustered"/>
        <ser>
          <idx val="0"/>
          <order val="0"/>
          <tx>
            <strRef>
              <f>'Charts'!S49</f>
            </strRef>
          </tx>
          <spPr>
            <a:solidFill>
              <a:srgbClr val="2E5FA3"/>
            </a:solidFill>
            <a:ln>
              <a:solidFill>
                <a:srgbClr val="2E5FA3"/>
              </a:solidFill>
              <a:prstDash val="solid"/>
            </a:ln>
          </spPr>
          <cat>
            <numRef>
              <f>'Charts'!$R$50:$R$57</f>
            </numRef>
          </cat>
          <val>
            <numRef>
              <f>'Charts'!$S$50:$S$57</f>
            </numRef>
          </val>
        </ser>
        <ser>
          <idx val="1"/>
          <order val="1"/>
          <tx>
            <strRef>
              <f>'Charts'!T49</f>
            </strRef>
          </tx>
          <spPr>
            <a:solidFill>
              <a:srgbClr val="C0392B"/>
            </a:solidFill>
            <a:ln>
              <a:solidFill>
                <a:srgbClr val="C0392B"/>
              </a:solidFill>
              <a:prstDash val="solid"/>
            </a:ln>
          </spPr>
          <cat>
            <numRef>
              <f>'Charts'!$R$50:$R$57</f>
            </numRef>
          </cat>
          <val>
            <numRef>
              <f>'Charts'!$T$50:$T$57</f>
            </numRef>
          </val>
        </ser>
        <gapWidth val="150"/>
        <axId val="10"/>
        <axId val="100"/>
      </barChart>
      <catAx>
        <axId val="10"/>
        <scaling>
          <orientation val="minMax"/>
        </scaling>
        <delete val="0"/>
        <axPos val="l"/>
        <title>
          <tx>
            <rich>
              <a:bodyPr/>
              <a:p>
                <a:pPr>
                  <a:defRPr/>
                </a:pPr>
                <a:r>
                  <a:t>US dollars</a:t>
                </a:r>
              </a:p>
            </rich>
          </tx>
        </title>
        <numFmt formatCode="$#,##0,&quot;K&quot;" sourceLinked="0"/>
        <majorTickMark val="none"/>
        <minorTickMark val="none"/>
        <crossAx val="100"/>
        <lblOffset val="100"/>
      </catAx>
      <valAx>
        <axId val="100"/>
        <scaling>
          <orientation val="minMax"/>
        </scaling>
        <delete val="0"/>
        <axPos val="l"/>
        <majorGridlines>
          <spPr>
            <a:ln>
              <a:prstDash val="solid"/>
            </a:ln>
          </spPr>
        </majorGridlines>
        <majorTickMark val="none"/>
        <minorTickMark val="none"/>
        <crossAx val="10"/>
      </valAx>
    </plotArea>
    <legend>
      <legendPos val="r"/>
    </legend>
    <plotVisOnly val="1"/>
    <dispBlanksAs val="gap"/>
  </chart>
</chartSpace>
</file>

<file path=xl/charts/chart8.xml><?xml version="1.0" encoding="utf-8"?>
<chartSpace xmlns:a="http://schemas.openxmlformats.org/drawingml/2006/main" xmlns="http://schemas.openxmlformats.org/drawingml/2006/chart">
  <chart>
    <title>
      <tx>
        <rich>
          <a:bodyPr/>
          <a:p>
            <a:pPr>
              <a:defRPr/>
            </a:pPr>
            <a:r>
              <a:t>8. Where the itemized contributions came from</a:t>
            </a:r>
          </a:p>
        </rich>
      </tx>
    </title>
    <plotArea>
      <barChart>
        <barDir val="col"/>
        <grouping val="clustered"/>
        <ser>
          <idx val="0"/>
          <order val="0"/>
          <tx>
            <strRef>
              <f>'Charts'!S60</f>
            </strRef>
          </tx>
          <spPr>
            <a:solidFill>
              <a:srgbClr val="2E5FA3"/>
            </a:solidFill>
            <a:ln>
              <a:solidFill>
                <a:srgbClr val="2E5FA3"/>
              </a:solidFill>
              <a:prstDash val="solid"/>
            </a:ln>
          </spPr>
          <cat>
            <numRef>
              <f>'Charts'!$R$61:$R$68</f>
            </numRef>
          </cat>
          <val>
            <numRef>
              <f>'Charts'!$S$61:$S$68</f>
            </numRef>
          </val>
        </ser>
        <ser>
          <idx val="1"/>
          <order val="1"/>
          <tx>
            <strRef>
              <f>'Charts'!T60</f>
            </strRef>
          </tx>
          <spPr>
            <a:solidFill>
              <a:srgbClr val="C0392B"/>
            </a:solidFill>
            <a:ln>
              <a:solidFill>
                <a:srgbClr val="C0392B"/>
              </a:solidFill>
              <a:prstDash val="solid"/>
            </a:ln>
          </spPr>
          <cat>
            <numRef>
              <f>'Charts'!$R$61:$R$68</f>
            </numRef>
          </cat>
          <val>
            <numRef>
              <f>'Charts'!$T$61:$T$68</f>
            </numRef>
          </val>
        </ser>
        <gapWidth val="150"/>
        <axId val="10"/>
        <axId val="100"/>
      </barChart>
      <catAx>
        <axId val="10"/>
        <scaling>
          <orientation val="minMax"/>
        </scaling>
        <delete val="0"/>
        <axPos val="l"/>
        <title>
          <tx>
            <rich>
              <a:bodyPr/>
              <a:p>
                <a:pPr>
                  <a:defRPr/>
                </a:pPr>
                <a:r>
                  <a:t>Donor state</a:t>
                </a:r>
              </a:p>
            </rich>
          </tx>
        </title>
        <majorTickMark val="none"/>
        <minorTickMark val="none"/>
        <crossAx val="100"/>
        <lblOffset val="100"/>
      </catAx>
      <valAx>
        <axId val="100"/>
        <scaling>
          <orientation val="minMax"/>
        </scaling>
        <delete val="0"/>
        <axPos val="l"/>
        <majorGridlines>
          <spPr>
            <a:ln>
              <a:prstDash val="solid"/>
            </a:ln>
          </spPr>
        </majorGridlines>
        <title>
          <tx>
            <rich>
              <a:bodyPr/>
              <a:p>
                <a:pPr>
                  <a:defRPr/>
                </a:pPr>
                <a:r>
                  <a:t>US dollars</a:t>
                </a:r>
              </a:p>
            </rich>
          </tx>
        </title>
        <numFmt formatCode="$#,##0,&quot;K&quot;" sourceLinked="0"/>
        <majorTickMark val="none"/>
        <minorTickMark val="none"/>
        <crossAx val="10"/>
      </valAx>
    </plotArea>
    <legend>
      <legendPos val="r"/>
    </legend>
    <plotVisOnly val="1"/>
    <dispBlanksAs val="gap"/>
  </chart>
</chartSpace>
</file>

<file path=xl/charts/chart9.xml><?xml version="1.0" encoding="utf-8"?>
<chartSpace xmlns:a="http://schemas.openxmlformats.org/drawingml/2006/main" xmlns="http://schemas.openxmlformats.org/drawingml/2006/chart">
  <chart>
    <title>
      <tx>
        <rich>
          <a:bodyPr/>
          <a:p>
            <a:pPr>
              <a:defRPr/>
            </a:pPr>
            <a:r>
              <a:t>9. What the outside groups bought</a:t>
            </a:r>
          </a:p>
        </rich>
      </tx>
    </title>
    <plotArea>
      <barChart>
        <barDir val="bar"/>
        <grouping val="clustered"/>
        <ser>
          <idx val="0"/>
          <order val="0"/>
          <tx>
            <strRef>
              <f>'Charts'!S71</f>
            </strRef>
          </tx>
          <spPr>
            <a:solidFill>
              <a:srgbClr val="1F4E79"/>
            </a:solidFill>
            <a:ln>
              <a:solidFill>
                <a:srgbClr val="1F4E79"/>
              </a:solidFill>
              <a:prstDash val="solid"/>
            </a:ln>
          </spPr>
          <cat>
            <numRef>
              <f>'Charts'!$R$72:$R$81</f>
            </numRef>
          </cat>
          <val>
            <numRef>
              <f>'Charts'!$S$72:$S$81</f>
            </numRef>
          </val>
        </ser>
        <gapWidth val="150"/>
        <axId val="10"/>
        <axId val="100"/>
      </barChart>
      <catAx>
        <axId val="10"/>
        <scaling>
          <orientation val="minMax"/>
        </scaling>
        <delete val="0"/>
        <axPos val="l"/>
        <title>
          <tx>
            <rich>
              <a:bodyPr/>
              <a:p>
                <a:pPr>
                  <a:defRPr/>
                </a:pPr>
                <a:r>
                  <a:t>US dollars</a:t>
                </a:r>
              </a:p>
            </rich>
          </tx>
        </title>
        <numFmt formatCode="$#,##0.0,,&quot;M&quot;" sourceLinked="0"/>
        <majorTickMark val="none"/>
        <minorTickMark val="none"/>
        <crossAx val="100"/>
        <lblOffset val="100"/>
      </catAx>
      <valAx>
        <axId val="100"/>
        <scaling>
          <orientation val="minMax"/>
        </scaling>
        <delete val="0"/>
        <axPos val="l"/>
        <majorGridlines>
          <spPr>
            <a:ln>
              <a:prstDash val="solid"/>
            </a:ln>
          </spPr>
        </majorGridlines>
        <majorTickMark val="none"/>
        <minorTickMark val="none"/>
        <crossAx val="10"/>
      </valAx>
    </plotArea>
    <plotVisOnly val="1"/>
    <dispBlanksAs val="gap"/>
  </chart>
</chartSpace>
</file>

<file path=xl/charts/chart10.xml><?xml version="1.0" encoding="utf-8"?>
<chartSpace xmlns:a="http://schemas.openxmlformats.org/drawingml/2006/main" xmlns="http://schemas.openxmlformats.org/drawingml/2006/chart">
  <chart>
    <title>
      <tx>
        <rich>
          <a:bodyPr/>
          <a:p>
            <a:pPr>
              <a:defRPr/>
            </a:pPr>
            <a:r>
              <a:t>1. All aligned money in the race, by cycle</a:t>
            </a:r>
          </a:p>
        </rich>
      </tx>
    </title>
    <plotArea>
      <barChart>
        <barDir val="col"/>
        <grouping val="stacked"/>
        <ser>
          <idx val="0"/>
          <order val="0"/>
          <tx>
            <strRef>
              <f>'History Charts'!S3</f>
            </strRef>
          </tx>
          <spPr>
            <a:solidFill>
              <a:srgbClr val="2E5FA3"/>
            </a:solidFill>
            <a:ln>
              <a:solidFill>
                <a:srgbClr val="2E5FA3"/>
              </a:solidFill>
              <a:prstDash val="solid"/>
            </a:ln>
          </spPr>
          <cat>
            <numRef>
              <f>'History Charts'!$R$4:$R$7</f>
            </numRef>
          </cat>
          <val>
            <numRef>
              <f>'History Charts'!$S$4:$S$7</f>
            </numRef>
          </val>
        </ser>
        <ser>
          <idx val="1"/>
          <order val="1"/>
          <tx>
            <strRef>
              <f>'History Charts'!T3</f>
            </strRef>
          </tx>
          <spPr>
            <a:solidFill>
              <a:srgbClr val="C0392B"/>
            </a:solidFill>
            <a:ln>
              <a:solidFill>
                <a:srgbClr val="C0392B"/>
              </a:solidFill>
              <a:prstDash val="solid"/>
            </a:ln>
          </spPr>
          <cat>
            <numRef>
              <f>'History Charts'!$R$4:$R$7</f>
            </numRef>
          </cat>
          <val>
            <numRef>
              <f>'History Charts'!$T$4:$T$7</f>
            </numRef>
          </val>
        </ser>
        <gapWidth val="150"/>
        <overlap val="100"/>
        <axId val="10"/>
        <axId val="100"/>
      </barChart>
      <catAx>
        <axId val="10"/>
        <scaling>
          <orientation val="minMax"/>
        </scaling>
        <delete val="0"/>
        <axPos val="l"/>
        <title>
          <tx>
            <rich>
              <a:bodyPr/>
              <a:p>
                <a:pPr>
                  <a:defRPr/>
                </a:pPr>
                <a:r>
                  <a:t>Election cycle</a:t>
                </a:r>
              </a:p>
            </rich>
          </tx>
        </title>
        <majorTickMark val="none"/>
        <minorTickMark val="none"/>
        <crossAx val="100"/>
        <lblOffset val="100"/>
      </catAx>
      <valAx>
        <axId val="100"/>
        <scaling>
          <orientation val="minMax"/>
        </scaling>
        <delete val="0"/>
        <axPos val="l"/>
        <majorGridlines>
          <spPr>
            <a:ln>
              <a:prstDash val="solid"/>
            </a:ln>
          </spPr>
        </majorGridlines>
        <title>
          <tx>
            <rich>
              <a:bodyPr/>
              <a:p>
                <a:pPr>
                  <a:defRPr/>
                </a:pPr>
                <a:r>
                  <a:t>US dollars</a:t>
                </a:r>
              </a:p>
            </rich>
          </tx>
        </title>
        <numFmt formatCode="$#,##0.0,,&quot;M&quot;" sourceLinked="0"/>
        <majorTickMark val="none"/>
        <minorTickMark val="none"/>
        <crossAx val="10"/>
      </valAx>
    </plotArea>
    <legend>
      <legendPos val="r"/>
    </legend>
    <plotVisOnly val="1"/>
    <dispBlanksAs val="gap"/>
  </chart>
</chartSpace>
</file>

<file path=xl/charts/chart11.xml><?xml version="1.0" encoding="utf-8"?>
<chartSpace xmlns:a="http://schemas.openxmlformats.org/drawingml/2006/main" xmlns="http://schemas.openxmlformats.org/drawingml/2006/chart">
  <chart>
    <title>
      <tx>
        <rich>
          <a:bodyPr/>
          <a:p>
            <a:pPr>
              <a:defRPr/>
            </a:pPr>
            <a:r>
              <a:t>2. Candidate committee receipts, by cycle</a:t>
            </a:r>
          </a:p>
        </rich>
      </tx>
    </title>
    <plotArea>
      <barChart>
        <barDir val="col"/>
        <grouping val="clustered"/>
        <ser>
          <idx val="0"/>
          <order val="0"/>
          <tx>
            <strRef>
              <f>'History Charts'!S10</f>
            </strRef>
          </tx>
          <spPr>
            <a:solidFill>
              <a:srgbClr val="2E5FA3"/>
            </a:solidFill>
            <a:ln>
              <a:solidFill>
                <a:srgbClr val="2E5FA3"/>
              </a:solidFill>
              <a:prstDash val="solid"/>
            </a:ln>
          </spPr>
          <cat>
            <numRef>
              <f>'History Charts'!$R$11:$R$14</f>
            </numRef>
          </cat>
          <val>
            <numRef>
              <f>'History Charts'!$S$11:$S$14</f>
            </numRef>
          </val>
        </ser>
        <ser>
          <idx val="1"/>
          <order val="1"/>
          <tx>
            <strRef>
              <f>'History Charts'!T10</f>
            </strRef>
          </tx>
          <spPr>
            <a:solidFill>
              <a:srgbClr val="C0392B"/>
            </a:solidFill>
            <a:ln>
              <a:solidFill>
                <a:srgbClr val="C0392B"/>
              </a:solidFill>
              <a:prstDash val="solid"/>
            </a:ln>
          </spPr>
          <cat>
            <numRef>
              <f>'History Charts'!$R$11:$R$14</f>
            </numRef>
          </cat>
          <val>
            <numRef>
              <f>'History Charts'!$T$11:$T$14</f>
            </numRef>
          </val>
        </ser>
        <gapWidth val="150"/>
        <axId val="10"/>
        <axId val="100"/>
      </barChart>
      <catAx>
        <axId val="10"/>
        <scaling>
          <orientation val="minMax"/>
        </scaling>
        <delete val="0"/>
        <axPos val="l"/>
        <title>
          <tx>
            <rich>
              <a:bodyPr/>
              <a:p>
                <a:pPr>
                  <a:defRPr/>
                </a:pPr>
                <a:r>
                  <a:t>Election cycle</a:t>
                </a:r>
              </a:p>
            </rich>
          </tx>
        </title>
        <majorTickMark val="none"/>
        <minorTickMark val="none"/>
        <crossAx val="100"/>
        <lblOffset val="100"/>
      </catAx>
      <valAx>
        <axId val="100"/>
        <scaling>
          <orientation val="minMax"/>
        </scaling>
        <delete val="0"/>
        <axPos val="l"/>
        <majorGridlines>
          <spPr>
            <a:ln>
              <a:prstDash val="solid"/>
            </a:ln>
          </spPr>
        </majorGridlines>
        <title>
          <tx>
            <rich>
              <a:bodyPr/>
              <a:p>
                <a:pPr>
                  <a:defRPr/>
                </a:pPr>
                <a:r>
                  <a:t>US dollars</a:t>
                </a:r>
              </a:p>
            </rich>
          </tx>
        </title>
        <numFmt formatCode="$#,##0.0,,&quot;M&quot;" sourceLinked="0"/>
        <majorTickMark val="none"/>
        <minorTickMark val="none"/>
        <crossAx val="10"/>
      </valAx>
    </plotArea>
    <legend>
      <legendPos val="r"/>
    </legend>
    <plotVisOnly val="1"/>
    <dispBlanksAs val="gap"/>
  </chart>
</chartSpace>
</file>

<file path=xl/charts/chart12.xml><?xml version="1.0" encoding="utf-8"?>
<chartSpace xmlns:a="http://schemas.openxmlformats.org/drawingml/2006/main" xmlns="http://schemas.openxmlformats.org/drawingml/2006/chart">
  <chart>
    <title>
      <tx>
        <rich>
          <a:bodyPr/>
          <a:p>
            <a:pPr>
              <a:defRPr/>
            </a:pPr>
            <a:r>
              <a:t>3. All aligned money vs result (Model B): positive, but n = 4</a:t>
            </a:r>
          </a:p>
        </rich>
      </tx>
    </title>
    <plotArea>
      <scatterChart>
        <ser>
          <idx val="0"/>
          <order val="0"/>
          <tx>
            <v>Elections 2018 to 2024</v>
          </tx>
          <spPr>
            <a:ln>
              <a:noFill/>
              <a:prstDash val="solid"/>
            </a:ln>
          </spPr>
          <marker>
            <symbol val="circle"/>
            <size val="9"/>
            <spPr>
              <a:ln>
                <a:prstDash val="solid"/>
              </a:ln>
            </spPr>
          </marker>
          <trendline>
            <trendlineType val="linear"/>
            <dispRSqr val="1"/>
            <dispEq val="1"/>
          </trendline>
          <xVal>
            <numRef>
              <f>'History Charts'!$S$18:$S$21</f>
            </numRef>
          </xVal>
          <yVal>
            <numRef>
              <f>'History Charts'!$T$18:$T$21</f>
            </numRef>
          </yVal>
        </ser>
        <axId val="10"/>
        <axId val="20"/>
      </scatterChart>
      <valAx>
        <axId val="10"/>
        <scaling>
          <orientation val="minMax"/>
        </scaling>
        <delete val="0"/>
        <axPos val="l"/>
        <majorGridlines/>
        <title>
          <tx>
            <rich>
              <a:bodyPr/>
              <a:p>
                <a:pPr>
                  <a:defRPr/>
                </a:pPr>
                <a:r>
                  <a:t>Democratic share of all aligned money</a:t>
                </a:r>
              </a:p>
            </rich>
          </tx>
        </title>
        <numFmt formatCode="0%" sourceLinked="0"/>
        <majorTickMark val="none"/>
        <minorTickMark val="none"/>
        <crossAx val="20"/>
      </valAx>
      <valAx>
        <axId val="20"/>
        <scaling>
          <orientation val="minMax"/>
        </scaling>
        <delete val="0"/>
        <axPos val="l"/>
        <majorGridlines/>
        <title>
          <tx>
            <rich>
              <a:bodyPr/>
              <a:p>
                <a:pPr>
                  <a:defRPr/>
                </a:pPr>
                <a:r>
                  <a:t>Democratic two-party vote share</a:t>
                </a:r>
              </a:p>
            </rich>
          </tx>
        </title>
        <numFmt formatCode="0%" sourceLinked="0"/>
        <majorTickMark val="none"/>
        <minorTickMark val="none"/>
        <crossAx val="10"/>
      </valAx>
    </plotArea>
    <legend>
      <legendPos val="r"/>
    </legend>
    <plotVisOnly val="1"/>
    <dispBlanksAs val="gap"/>
  </chart>
</chartSpace>
</file>

<file path=xl/charts/chart13.xml><?xml version="1.0" encoding="utf-8"?>
<chartSpace xmlns:a="http://schemas.openxmlformats.org/drawingml/2006/main" xmlns="http://schemas.openxmlformats.org/drawingml/2006/chart">
  <chart>
    <title>
      <tx>
        <rich>
          <a:bodyPr/>
          <a:p>
            <a:pPr>
              <a:defRPr/>
            </a:pPr>
            <a:r>
              <a:t>4. Candidate fundraising vs result (Model A): no relationship</a:t>
            </a:r>
          </a:p>
        </rich>
      </tx>
    </title>
    <plotArea>
      <scatterChart>
        <ser>
          <idx val="0"/>
          <order val="0"/>
          <tx>
            <v>Elections 2018 to 2024</v>
          </tx>
          <spPr>
            <a:ln>
              <a:noFill/>
              <a:prstDash val="solid"/>
            </a:ln>
          </spPr>
          <marker>
            <symbol val="circle"/>
            <size val="9"/>
            <spPr>
              <a:ln>
                <a:prstDash val="solid"/>
              </a:ln>
            </spPr>
          </marker>
          <trendline>
            <trendlineType val="linear"/>
            <dispRSqr val="1"/>
            <dispEq val="1"/>
          </trendline>
          <xVal>
            <numRef>
              <f>'History Charts'!$S$25:$S$28</f>
            </numRef>
          </xVal>
          <yVal>
            <numRef>
              <f>'History Charts'!$T$25:$T$28</f>
            </numRef>
          </yVal>
        </ser>
        <axId val="10"/>
        <axId val="20"/>
      </scatterChart>
      <valAx>
        <axId val="10"/>
        <scaling>
          <orientation val="minMax"/>
        </scaling>
        <delete val="0"/>
        <axPos val="l"/>
        <majorGridlines/>
        <title>
          <tx>
            <rich>
              <a:bodyPr/>
              <a:p>
                <a:pPr>
                  <a:defRPr/>
                </a:pPr>
                <a:r>
                  <a:t>Democratic share of candidate receipts</a:t>
                </a:r>
              </a:p>
            </rich>
          </tx>
        </title>
        <numFmt formatCode="0%" sourceLinked="0"/>
        <majorTickMark val="none"/>
        <minorTickMark val="none"/>
        <crossAx val="20"/>
      </valAx>
      <valAx>
        <axId val="20"/>
        <scaling>
          <orientation val="minMax"/>
        </scaling>
        <delete val="0"/>
        <axPos val="l"/>
        <majorGridlines/>
        <title>
          <tx>
            <rich>
              <a:bodyPr/>
              <a:p>
                <a:pPr>
                  <a:defRPr/>
                </a:pPr>
                <a:r>
                  <a:t>Democratic two-party vote share</a:t>
                </a:r>
              </a:p>
            </rich>
          </tx>
        </title>
        <numFmt formatCode="0%" sourceLinked="0"/>
        <majorTickMark val="none"/>
        <minorTickMark val="none"/>
        <crossAx val="10"/>
      </valAx>
    </plotArea>
    <legend>
      <legendPos val="r"/>
    </legend>
    <plotVisOnly val="1"/>
    <dispBlanksAs val="gap"/>
  </chart>
</chartSpace>
</file>

<file path=xl/charts/chart14.xml><?xml version="1.0" encoding="utf-8"?>
<chartSpace xmlns:a="http://schemas.openxmlformats.org/drawingml/2006/main" xmlns="http://schemas.openxmlformats.org/drawingml/2006/chart">
  <chart>
    <title>
      <tx>
        <rich>
          <a:bodyPr/>
          <a:p>
            <a:pPr>
              <a:defRPr/>
            </a:pPr>
            <a:r>
              <a:t>5. Democratic two-party vote share, by cycle</a:t>
            </a:r>
          </a:p>
        </rich>
      </tx>
    </title>
    <plotArea>
      <lineChart>
        <grouping val="standard"/>
        <ser>
          <idx val="0"/>
          <order val="0"/>
          <tx>
            <strRef>
              <f>'History Charts'!S31</f>
            </strRef>
          </tx>
          <spPr>
            <a:ln w="28000">
              <a:solidFill>
                <a:srgbClr val="2E5FA3"/>
              </a:solidFill>
              <a:prstDash val="solid"/>
            </a:ln>
          </spPr>
          <marker>
            <symbol val="circle"/>
            <size val="8"/>
            <spPr>
              <a:ln>
                <a:prstDash val="solid"/>
              </a:ln>
            </spPr>
          </marker>
          <cat>
            <numRef>
              <f>'History Charts'!$R$32:$R$35</f>
            </numRef>
          </cat>
          <val>
            <numRef>
              <f>'History Charts'!$S$32:$S$35</f>
            </numRef>
          </val>
        </ser>
        <ser>
          <idx val="1"/>
          <order val="1"/>
          <tx>
            <strRef>
              <f>'History Charts'!T31</f>
            </strRef>
          </tx>
          <spPr>
            <a:ln>
              <a:solidFill>
                <a:srgbClr val="808080"/>
              </a:solidFill>
              <a:prstDash val="dash"/>
            </a:ln>
          </spPr>
          <marker>
            <symbol val="none"/>
            <spPr>
              <a:ln>
                <a:prstDash val="solid"/>
              </a:ln>
            </spPr>
          </marker>
          <cat>
            <numRef>
              <f>'History Charts'!$R$32:$R$35</f>
            </numRef>
          </cat>
          <val>
            <numRef>
              <f>'History Charts'!$T$32:$T$35</f>
            </numRef>
          </val>
        </ser>
        <axId val="10"/>
        <axId val="100"/>
      </lineChart>
      <catAx>
        <axId val="10"/>
        <scaling>
          <orientation val="minMax"/>
        </scaling>
        <delete val="0"/>
        <axPos val="l"/>
        <title>
          <tx>
            <rich>
              <a:bodyPr/>
              <a:p>
                <a:pPr>
                  <a:defRPr/>
                </a:pPr>
                <a:r>
                  <a:t>Election cycle</a:t>
                </a:r>
              </a:p>
            </rich>
          </tx>
        </title>
        <majorTickMark val="none"/>
        <minorTickMark val="none"/>
        <crossAx val="100"/>
        <lblOffset val="100"/>
      </catAx>
      <valAx>
        <axId val="100"/>
        <scaling>
          <orientation val="minMax"/>
        </scaling>
        <delete val="0"/>
        <axPos val="l"/>
        <majorGridlines>
          <spPr>
            <a:ln>
              <a:prstDash val="solid"/>
            </a:ln>
          </spPr>
        </majorGridlines>
        <title>
          <tx>
            <rich>
              <a:bodyPr/>
              <a:p>
                <a:pPr>
                  <a:defRPr/>
                </a:pPr>
                <a:r>
                  <a:t>Two-party vote share</a:t>
                </a:r>
              </a:p>
            </rich>
          </tx>
        </title>
        <numFmt formatCode="0%" sourceLinked="0"/>
        <majorTickMark val="none"/>
        <minorTickMark val="none"/>
        <crossAx val="10"/>
      </valAx>
    </plotArea>
    <legend>
      <legendPos val="r"/>
    </legend>
    <plotVisOnly val="1"/>
    <dispBlanksAs val="gap"/>
  </chart>
</chartSpace>
</file>

<file path=xl/charts/chart15.xml><?xml version="1.0" encoding="utf-8"?>
<chartSpace xmlns:a="http://schemas.openxmlformats.org/drawingml/2006/main" xmlns="http://schemas.openxmlformats.org/drawingml/2006/chart">
  <chart>
    <title>
      <tx>
        <rich>
          <a:bodyPr/>
          <a:p>
            <a:pPr>
              <a:defRPr/>
            </a:pPr>
            <a:r>
              <a:t>6. Outside spending now exceeds the candidates' own</a:t>
            </a:r>
          </a:p>
        </rich>
      </tx>
    </title>
    <plotArea>
      <barChart>
        <barDir val="col"/>
        <grouping val="stacked"/>
        <ser>
          <idx val="0"/>
          <order val="0"/>
          <tx>
            <strRef>
              <f>'History Charts'!S38</f>
            </strRef>
          </tx>
          <spPr>
            <a:solidFill>
              <a:srgbClr val="1F4E79"/>
            </a:solidFill>
            <a:ln>
              <a:solidFill>
                <a:srgbClr val="1F4E79"/>
              </a:solidFill>
              <a:prstDash val="solid"/>
            </a:ln>
          </spPr>
          <cat>
            <numRef>
              <f>'History Charts'!$R$39:$R$42</f>
            </numRef>
          </cat>
          <val>
            <numRef>
              <f>'History Charts'!$S$39:$S$42</f>
            </numRef>
          </val>
        </ser>
        <ser>
          <idx val="1"/>
          <order val="1"/>
          <tx>
            <strRef>
              <f>'History Charts'!T38</f>
            </strRef>
          </tx>
          <spPr>
            <a:solidFill>
              <a:srgbClr val="E8A33D"/>
            </a:solidFill>
            <a:ln>
              <a:solidFill>
                <a:srgbClr val="E8A33D"/>
              </a:solidFill>
              <a:prstDash val="solid"/>
            </a:ln>
          </spPr>
          <cat>
            <numRef>
              <f>'History Charts'!$R$39:$R$42</f>
            </numRef>
          </cat>
          <val>
            <numRef>
              <f>'History Charts'!$T$39:$T$42</f>
            </numRef>
          </val>
        </ser>
        <gapWidth val="150"/>
        <overlap val="100"/>
        <axId val="10"/>
        <axId val="100"/>
      </barChart>
      <catAx>
        <axId val="10"/>
        <scaling>
          <orientation val="minMax"/>
        </scaling>
        <delete val="0"/>
        <axPos val="l"/>
        <title>
          <tx>
            <rich>
              <a:bodyPr/>
              <a:p>
                <a:pPr>
                  <a:defRPr/>
                </a:pPr>
                <a:r>
                  <a:t>Election cycle</a:t>
                </a:r>
              </a:p>
            </rich>
          </tx>
        </title>
        <majorTickMark val="none"/>
        <minorTickMark val="none"/>
        <crossAx val="100"/>
        <lblOffset val="100"/>
      </catAx>
      <valAx>
        <axId val="100"/>
        <scaling>
          <orientation val="minMax"/>
        </scaling>
        <delete val="0"/>
        <axPos val="l"/>
        <majorGridlines>
          <spPr>
            <a:ln>
              <a:prstDash val="solid"/>
            </a:ln>
          </spPr>
        </majorGridlines>
        <title>
          <tx>
            <rich>
              <a:bodyPr/>
              <a:p>
                <a:pPr>
                  <a:defRPr/>
                </a:pPr>
                <a:r>
                  <a:t>US dollars</a:t>
                </a:r>
              </a:p>
            </rich>
          </tx>
        </title>
        <numFmt formatCode="$#,##0.0,,&quot;M&quot;" sourceLinked="0"/>
        <majorTickMark val="none"/>
        <minorTickMark val="none"/>
        <crossAx val="10"/>
      </valAx>
    </plotArea>
    <legend>
      <legendPos val="r"/>
    </legend>
    <plotVisOnly val="1"/>
    <dispBlanksAs val="gap"/>
  </chart>
</chartSpace>
</file>

<file path=xl/charts/chart16.xml><?xml version="1.0" encoding="utf-8"?>
<chartSpace xmlns:a="http://schemas.openxmlformats.org/drawingml/2006/main" xmlns="http://schemas.openxmlformats.org/drawingml/2006/chart">
  <chart>
    <title>
      <tx>
        <rich>
          <a:bodyPr/>
          <a:p>
            <a:pPr>
              <a:defRPr/>
            </a:pPr>
            <a:r>
              <a:t>7. Receipts per vote received</a:t>
            </a:r>
          </a:p>
        </rich>
      </tx>
    </title>
    <plotArea>
      <barChart>
        <barDir val="bar"/>
        <grouping val="clustered"/>
        <ser>
          <idx val="0"/>
          <order val="0"/>
          <tx>
            <strRef>
              <f>'History Charts'!S45</f>
            </strRef>
          </tx>
          <spPr>
            <a:solidFill>
              <a:srgbClr val="1F4E79"/>
            </a:solidFill>
            <a:ln>
              <a:solidFill>
                <a:srgbClr val="1F4E79"/>
              </a:solidFill>
              <a:prstDash val="solid"/>
            </a:ln>
          </spPr>
          <dPt>
            <idx val="0"/>
            <spPr>
              <a:solidFill>
                <a:srgbClr val="2E5FA3"/>
              </a:solidFill>
              <a:ln>
                <a:prstDash val="solid"/>
              </a:ln>
            </spPr>
          </dPt>
          <dPt>
            <idx val="1"/>
            <spPr>
              <a:solidFill>
                <a:srgbClr val="C0392B"/>
              </a:solidFill>
              <a:ln>
                <a:prstDash val="solid"/>
              </a:ln>
            </spPr>
          </dPt>
          <dPt>
            <idx val="2"/>
            <spPr>
              <a:solidFill>
                <a:srgbClr val="2E5FA3"/>
              </a:solidFill>
              <a:ln>
                <a:prstDash val="solid"/>
              </a:ln>
            </spPr>
          </dPt>
          <dPt>
            <idx val="3"/>
            <spPr>
              <a:solidFill>
                <a:srgbClr val="C0392B"/>
              </a:solidFill>
              <a:ln>
                <a:prstDash val="solid"/>
              </a:ln>
            </spPr>
          </dPt>
          <dPt>
            <idx val="4"/>
            <spPr>
              <a:solidFill>
                <a:srgbClr val="2E5FA3"/>
              </a:solidFill>
              <a:ln>
                <a:prstDash val="solid"/>
              </a:ln>
            </spPr>
          </dPt>
          <dPt>
            <idx val="5"/>
            <spPr>
              <a:solidFill>
                <a:srgbClr val="C0392B"/>
              </a:solidFill>
              <a:ln>
                <a:prstDash val="solid"/>
              </a:ln>
            </spPr>
          </dPt>
          <dPt>
            <idx val="6"/>
            <spPr>
              <a:solidFill>
                <a:srgbClr val="2E5FA3"/>
              </a:solidFill>
              <a:ln>
                <a:prstDash val="solid"/>
              </a:ln>
            </spPr>
          </dPt>
          <dPt>
            <idx val="7"/>
            <spPr>
              <a:solidFill>
                <a:srgbClr val="C0392B"/>
              </a:solidFill>
              <a:ln>
                <a:prstDash val="solid"/>
              </a:ln>
            </spPr>
          </dPt>
          <cat>
            <numRef>
              <f>'History Charts'!$R$46:$R$53</f>
            </numRef>
          </cat>
          <val>
            <numRef>
              <f>'History Charts'!$S$46:$S$53</f>
            </numRef>
          </val>
        </ser>
        <gapWidth val="150"/>
        <axId val="10"/>
        <axId val="100"/>
      </barChart>
      <catAx>
        <axId val="10"/>
        <scaling>
          <orientation val="minMax"/>
        </scaling>
        <delete val="0"/>
        <axPos val="l"/>
        <title>
          <tx>
            <rich>
              <a:bodyPr/>
              <a:p>
                <a:pPr>
                  <a:defRPr/>
                </a:pPr>
                <a:r>
                  <a:t>US dollars per vote</a:t>
                </a:r>
              </a:p>
            </rich>
          </tx>
        </title>
        <numFmt formatCode="$#,##0" sourceLinked="0"/>
        <majorTickMark val="none"/>
        <minorTickMark val="none"/>
        <crossAx val="100"/>
        <lblOffset val="100"/>
      </catAx>
      <valAx>
        <axId val="100"/>
        <scaling>
          <orientation val="minMax"/>
        </scaling>
        <delete val="0"/>
        <axPos val="l"/>
        <majorGridlines>
          <spPr>
            <a:ln>
              <a:prstDash val="solid"/>
            </a:ln>
          </spPr>
        </majorGridlines>
        <majorTickMark val="none"/>
        <minorTickMark val="none"/>
        <crossAx val="10"/>
      </valAx>
    </plotArea>
    <plotVisOnly val="1"/>
    <dispBlanksAs val="gap"/>
  </chart>
</chartSpace>
</file>

<file path=xl/comments/comment1.xml><?xml version="1.0" encoding="utf-8"?>
<comments xmlns="http://schemas.openxmlformats.org/spreadsheetml/2006/main">
  <authors>
    <author>pa07-finance</author>
  </authors>
  <commentList>
    <comment ref="L5" authorId="0" shapeId="0">
      <text>
        <t>A subset of 'Individual, total', not an additional source. Do not add it to the other columns.</t>
      </text>
    </comment>
    <comment ref="Q5" authorId="0" shapeId="0">
      <text>
        <t>Receipts less the identified components: individual + PAC + party + transfers + self-funding. A formula, not a reported FEC field.</t>
      </text>
    </comment>
  </commentList>
</comments>
</file>

<file path=xl/comments/comment2.xml><?xml version="1.0" encoding="utf-8"?>
<comments xmlns="http://schemas.openxmlformats.org/spreadsheetml/2006/main">
  <authors>
    <author>pa07-finance</author>
  </authors>
  <commentList>
    <comment ref="N5" authorId="0" shapeId="0">
      <text>
        <t>This candidate's own receipts, plus outside spending supporting them, plus outside spending opposing their opponent. Money spent against the opponent works in this candidate's favour, so it sits on this side of the ledger.</t>
      </text>
    </comment>
    <comment ref="P5" authorId="0" shapeId="0">
      <text>
        <t>Votes for this candidate divided by Democratic plus Republican votes. Third-party and write-in votes are excluded so the cycles stay comparable.</t>
      </text>
    </comment>
  </commentList>
</comments>
</file>

<file path=xl/drawings/_rels/drawing1.xml.rels><Relationships xmlns="http://schemas.openxmlformats.org/package/2006/relationships"><Relationship Type="http://schemas.openxmlformats.org/officeDocument/2006/relationships/chart" Target="/xl/charts/chart1.xml" Id="rId1" /><Relationship Type="http://schemas.openxmlformats.org/officeDocument/2006/relationships/chart" Target="/xl/charts/chart2.xml" Id="rId2" /><Relationship Type="http://schemas.openxmlformats.org/officeDocument/2006/relationships/chart" Target="/xl/charts/chart3.xml" Id="rId3" /><Relationship Type="http://schemas.openxmlformats.org/officeDocument/2006/relationships/chart" Target="/xl/charts/chart4.xml" Id="rId4" /><Relationship Type="http://schemas.openxmlformats.org/officeDocument/2006/relationships/chart" Target="/xl/charts/chart5.xml" Id="rId5" /><Relationship Type="http://schemas.openxmlformats.org/officeDocument/2006/relationships/chart" Target="/xl/charts/chart6.xml" Id="rId6" /><Relationship Type="http://schemas.openxmlformats.org/officeDocument/2006/relationships/chart" Target="/xl/charts/chart7.xml" Id="rId7" /><Relationship Type="http://schemas.openxmlformats.org/officeDocument/2006/relationships/chart" Target="/xl/charts/chart8.xml" Id="rId8" /><Relationship Type="http://schemas.openxmlformats.org/officeDocument/2006/relationships/chart" Target="/xl/charts/chart9.xml" Id="rId9" /></Relationships>
</file>

<file path=xl/drawings/_rels/drawing2.xml.rels><Relationships xmlns="http://schemas.openxmlformats.org/package/2006/relationships"><Relationship Type="http://schemas.openxmlformats.org/officeDocument/2006/relationships/chart" Target="/xl/charts/chart10.xml" Id="rId1" /><Relationship Type="http://schemas.openxmlformats.org/officeDocument/2006/relationships/chart" Target="/xl/charts/chart11.xml" Id="rId2" /><Relationship Type="http://schemas.openxmlformats.org/officeDocument/2006/relationships/chart" Target="/xl/charts/chart12.xml" Id="rId3" /><Relationship Type="http://schemas.openxmlformats.org/officeDocument/2006/relationships/chart" Target="/xl/charts/chart13.xml" Id="rId4" /><Relationship Type="http://schemas.openxmlformats.org/officeDocument/2006/relationships/chart" Target="/xl/charts/chart14.xml" Id="rId5" /><Relationship Type="http://schemas.openxmlformats.org/officeDocument/2006/relationships/chart" Target="/xl/charts/chart15.xml" Id="rId6" /><Relationship Type="http://schemas.openxmlformats.org/officeDocument/2006/relationships/chart" Target="/xl/charts/chart16.xml" Id="rId7"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0</col>
      <colOff>0</colOff>
      <row>3</row>
      <rowOff>0</rowOff>
    </from>
    <ext cx="7920000" cy="3960000"/>
    <graphicFrame>
      <nvGraphicFramePr>
        <cNvPr id="1" name="Chart 1"/>
        <cNvGraphicFramePr/>
      </nvGraphicFramePr>
      <xfrm/>
      <a:graphic>
        <a:graphicData uri="http://schemas.openxmlformats.org/drawingml/2006/chart">
          <c:chart r:id="rId1"/>
        </a:graphicData>
      </a:graphic>
    </graphicFrame>
    <clientData/>
  </oneCellAnchor>
  <oneCellAnchor>
    <from>
      <col>0</col>
      <colOff>0</colOff>
      <row>26</row>
      <rowOff>0</rowOff>
    </from>
    <ext cx="7920000" cy="3960000"/>
    <graphicFrame>
      <nvGraphicFramePr>
        <cNvPr id="2" name="Chart 2"/>
        <cNvGraphicFramePr/>
      </nvGraphicFramePr>
      <xfrm/>
      <a:graphic>
        <a:graphicData uri="http://schemas.openxmlformats.org/drawingml/2006/chart">
          <c:chart r:id="rId2"/>
        </a:graphicData>
      </a:graphic>
    </graphicFrame>
    <clientData/>
  </oneCellAnchor>
  <oneCellAnchor>
    <from>
      <col>0</col>
      <colOff>0</colOff>
      <row>49</row>
      <rowOff>0</rowOff>
    </from>
    <ext cx="7920000" cy="3960000"/>
    <graphicFrame>
      <nvGraphicFramePr>
        <cNvPr id="3" name="Chart 3"/>
        <cNvGraphicFramePr/>
      </nvGraphicFramePr>
      <xfrm/>
      <a:graphic>
        <a:graphicData uri="http://schemas.openxmlformats.org/drawingml/2006/chart">
          <c:chart r:id="rId3"/>
        </a:graphicData>
      </a:graphic>
    </graphicFrame>
    <clientData/>
  </oneCellAnchor>
  <oneCellAnchor>
    <from>
      <col>0</col>
      <colOff>0</colOff>
      <row>72</row>
      <rowOff>0</rowOff>
    </from>
    <ext cx="8640000" cy="4680000"/>
    <graphicFrame>
      <nvGraphicFramePr>
        <cNvPr id="4" name="Chart 4"/>
        <cNvGraphicFramePr/>
      </nvGraphicFramePr>
      <xfrm/>
      <a:graphic>
        <a:graphicData uri="http://schemas.openxmlformats.org/drawingml/2006/chart">
          <c:chart r:id="rId4"/>
        </a:graphicData>
      </a:graphic>
    </graphicFrame>
    <clientData/>
  </oneCellAnchor>
  <oneCellAnchor>
    <from>
      <col>0</col>
      <colOff>0</colOff>
      <row>98</row>
      <rowOff>0</rowOff>
    </from>
    <ext cx="9360000" cy="4320000"/>
    <graphicFrame>
      <nvGraphicFramePr>
        <cNvPr id="5" name="Chart 5"/>
        <cNvGraphicFramePr/>
      </nvGraphicFramePr>
      <xfrm/>
      <a:graphic>
        <a:graphicData uri="http://schemas.openxmlformats.org/drawingml/2006/chart">
          <c:chart r:id="rId5"/>
        </a:graphicData>
      </a:graphic>
    </graphicFrame>
    <clientData/>
  </oneCellAnchor>
  <oneCellAnchor>
    <from>
      <col>0</col>
      <colOff>0</colOff>
      <row>123</row>
      <rowOff>0</rowOff>
    </from>
    <ext cx="7200000" cy="4320000"/>
    <graphicFrame>
      <nvGraphicFramePr>
        <cNvPr id="6" name="Chart 6"/>
        <cNvGraphicFramePr/>
      </nvGraphicFramePr>
      <xfrm/>
      <a:graphic>
        <a:graphicData uri="http://schemas.openxmlformats.org/drawingml/2006/chart">
          <c:chart r:id="rId6"/>
        </a:graphicData>
      </a:graphic>
    </graphicFrame>
    <clientData/>
  </oneCellAnchor>
  <oneCellAnchor>
    <from>
      <col>0</col>
      <colOff>0</colOff>
      <row>148</row>
      <rowOff>0</rowOff>
    </from>
    <ext cx="8640000" cy="4680000"/>
    <graphicFrame>
      <nvGraphicFramePr>
        <cNvPr id="7" name="Chart 7"/>
        <cNvGraphicFramePr/>
      </nvGraphicFramePr>
      <xfrm/>
      <a:graphic>
        <a:graphicData uri="http://schemas.openxmlformats.org/drawingml/2006/chart">
          <c:chart r:id="rId7"/>
        </a:graphicData>
      </a:graphic>
    </graphicFrame>
    <clientData/>
  </oneCellAnchor>
  <oneCellAnchor>
    <from>
      <col>0</col>
      <colOff>0</colOff>
      <row>173</row>
      <rowOff>0</rowOff>
    </from>
    <ext cx="7920000" cy="3960000"/>
    <graphicFrame>
      <nvGraphicFramePr>
        <cNvPr id="8" name="Chart 8"/>
        <cNvGraphicFramePr/>
      </nvGraphicFramePr>
      <xfrm/>
      <a:graphic>
        <a:graphicData uri="http://schemas.openxmlformats.org/drawingml/2006/chart">
          <c:chart r:id="rId8"/>
        </a:graphicData>
      </a:graphic>
    </graphicFrame>
    <clientData/>
  </oneCellAnchor>
  <oneCellAnchor>
    <from>
      <col>0</col>
      <colOff>0</colOff>
      <row>198</row>
      <rowOff>0</rowOff>
    </from>
    <ext cx="7920000" cy="3960000"/>
    <graphicFrame>
      <nvGraphicFramePr>
        <cNvPr id="9" name="Chart 9"/>
        <cNvGraphicFramePr/>
      </nvGraphicFramePr>
      <xfrm/>
      <a:graphic>
        <a:graphicData uri="http://schemas.openxmlformats.org/drawingml/2006/chart">
          <c:chart r:id="rId9"/>
        </a:graphicData>
      </a:graphic>
    </graphicFrame>
    <clientData/>
  </oneCellAnchor>
</wsDr>
</file>

<file path=xl/drawings/drawing2.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0</col>
      <colOff>0</colOff>
      <row>3</row>
      <rowOff>0</rowOff>
    </from>
    <ext cx="7920000" cy="3960000"/>
    <graphicFrame>
      <nvGraphicFramePr>
        <cNvPr id="1" name="Chart 1"/>
        <cNvGraphicFramePr/>
      </nvGraphicFramePr>
      <xfrm/>
      <a:graphic>
        <a:graphicData uri="http://schemas.openxmlformats.org/drawingml/2006/chart">
          <c:chart r:id="rId1"/>
        </a:graphicData>
      </a:graphic>
    </graphicFrame>
    <clientData/>
  </oneCellAnchor>
  <oneCellAnchor>
    <from>
      <col>0</col>
      <colOff>0</colOff>
      <row>26</row>
      <rowOff>0</rowOff>
    </from>
    <ext cx="7920000" cy="3960000"/>
    <graphicFrame>
      <nvGraphicFramePr>
        <cNvPr id="2" name="Chart 2"/>
        <cNvGraphicFramePr/>
      </nvGraphicFramePr>
      <xfrm/>
      <a:graphic>
        <a:graphicData uri="http://schemas.openxmlformats.org/drawingml/2006/chart">
          <c:chart r:id="rId2"/>
        </a:graphicData>
      </a:graphic>
    </graphicFrame>
    <clientData/>
  </oneCellAnchor>
  <oneCellAnchor>
    <from>
      <col>0</col>
      <colOff>0</colOff>
      <row>49</row>
      <rowOff>0</rowOff>
    </from>
    <ext cx="7920000" cy="4320000"/>
    <graphicFrame>
      <nvGraphicFramePr>
        <cNvPr id="3" name="Chart 3"/>
        <cNvGraphicFramePr/>
      </nvGraphicFramePr>
      <xfrm/>
      <a:graphic>
        <a:graphicData uri="http://schemas.openxmlformats.org/drawingml/2006/chart">
          <c:chart r:id="rId3"/>
        </a:graphicData>
      </a:graphic>
    </graphicFrame>
    <clientData/>
  </oneCellAnchor>
  <oneCellAnchor>
    <from>
      <col>0</col>
      <colOff>0</colOff>
      <row>74</row>
      <rowOff>0</rowOff>
    </from>
    <ext cx="7920000" cy="4320000"/>
    <graphicFrame>
      <nvGraphicFramePr>
        <cNvPr id="4" name="Chart 4"/>
        <cNvGraphicFramePr/>
      </nvGraphicFramePr>
      <xfrm/>
      <a:graphic>
        <a:graphicData uri="http://schemas.openxmlformats.org/drawingml/2006/chart">
          <c:chart r:id="rId4"/>
        </a:graphicData>
      </a:graphic>
    </graphicFrame>
    <clientData/>
  </oneCellAnchor>
  <oneCellAnchor>
    <from>
      <col>0</col>
      <colOff>0</colOff>
      <row>99</row>
      <rowOff>0</rowOff>
    </from>
    <ext cx="7920000" cy="3960000"/>
    <graphicFrame>
      <nvGraphicFramePr>
        <cNvPr id="5" name="Chart 5"/>
        <cNvGraphicFramePr/>
      </nvGraphicFramePr>
      <xfrm/>
      <a:graphic>
        <a:graphicData uri="http://schemas.openxmlformats.org/drawingml/2006/chart">
          <c:chart r:id="rId5"/>
        </a:graphicData>
      </a:graphic>
    </graphicFrame>
    <clientData/>
  </oneCellAnchor>
  <oneCellAnchor>
    <from>
      <col>0</col>
      <colOff>0</colOff>
      <row>122</row>
      <rowOff>0</rowOff>
    </from>
    <ext cx="7920000" cy="3960000"/>
    <graphicFrame>
      <nvGraphicFramePr>
        <cNvPr id="6" name="Chart 6"/>
        <cNvGraphicFramePr/>
      </nvGraphicFramePr>
      <xfrm/>
      <a:graphic>
        <a:graphicData uri="http://schemas.openxmlformats.org/drawingml/2006/chart">
          <c:chart r:id="rId6"/>
        </a:graphicData>
      </a:graphic>
    </graphicFrame>
    <clientData/>
  </oneCellAnchor>
  <oneCellAnchor>
    <from>
      <col>0</col>
      <colOff>0</colOff>
      <row>145</row>
      <rowOff>0</rowOff>
    </from>
    <ext cx="7920000" cy="4680000"/>
    <graphicFrame>
      <nvGraphicFramePr>
        <cNvPr id="7" name="Chart 7"/>
        <cNvGraphicFramePr/>
      </nvGraphicFramePr>
      <xfrm/>
      <a:graphic>
        <a:graphicData uri="http://schemas.openxmlformats.org/drawingml/2006/chart">
          <c:chart r:id="rId7"/>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drawing" Target="/xl/drawings/drawing1.xml" Id="rId1" /></Relationships>
</file>

<file path=xl/worksheets/_rels/sheet5.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10.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11.xml.rels><Relationships xmlns="http://schemas.openxmlformats.org/package/2006/relationships"><Relationship Type="http://schemas.openxmlformats.org/officeDocument/2006/relationships/drawing" Target="/xl/drawings/drawing2.xml" Id="rId1" /></Relationships>
</file>

<file path=xl/worksheets/sheet1.xml><?xml version="1.0" encoding="utf-8"?>
<worksheet xmlns="http://schemas.openxmlformats.org/spreadsheetml/2006/main">
  <sheetPr>
    <tabColor rgb="001F3864"/>
    <outlinePr summaryBelow="1" summaryRight="1"/>
    <pageSetUpPr/>
  </sheetPr>
  <dimension ref="A1:H41"/>
  <sheetViews>
    <sheetView workbookViewId="0">
      <selection activeCell="A1" sqref="A1"/>
    </sheetView>
  </sheetViews>
  <sheetFormatPr baseColWidth="8" defaultRowHeight="15"/>
  <cols>
    <col width="52" customWidth="1" min="1" max="1"/>
    <col width="17" customWidth="1" min="2" max="2"/>
    <col width="17" customWidth="1" min="3" max="3"/>
    <col width="17" customWidth="1" min="4" max="4"/>
    <col width="14" customWidth="1" min="5" max="5"/>
    <col width="14" customWidth="1" min="6" max="6"/>
    <col width="14" customWidth="1" min="7" max="7"/>
    <col width="14" customWidth="1" min="8" max="8"/>
  </cols>
  <sheetData>
    <row r="1">
      <c r="A1" s="1" t="inlineStr">
        <is>
          <t>PA-07 campaign finance: where the money is</t>
        </is>
      </c>
    </row>
    <row r="2">
      <c r="A2" s="2" t="inlineStr">
        <is>
          <t>Pennsylvania's 7th congressional district. Bob Brooks (D) and Ryan Mackenzie (R). General election 2026-11-03. Source: FEC.</t>
        </is>
      </c>
    </row>
    <row r="4" ht="18" customHeight="1">
      <c r="A4" s="3" t="inlineStr">
        <is>
          <t>DATA VINTAGE, READ THIS FIRST</t>
        </is>
      </c>
      <c r="B4" s="4" t="n"/>
      <c r="C4" s="4" t="n"/>
      <c r="D4" s="4" t="n"/>
      <c r="E4" s="4" t="n"/>
      <c r="F4" s="4" t="n"/>
      <c r="G4" s="4" t="n"/>
      <c r="H4" s="4" t="n"/>
    </row>
    <row r="5">
      <c r="A5" s="5" t="inlineStr">
        <is>
          <t>Candidate committee totals current through</t>
        </is>
      </c>
      <c r="B5" s="6" t="inlineStr">
        <is>
          <t>2026-10-14</t>
        </is>
      </c>
      <c r="C5" s="7" t="inlineStr">
        <is>
          <t>Latest periodic FEC report on file for the nominees</t>
        </is>
      </c>
    </row>
    <row r="6">
      <c r="A6" s="5" t="inlineStr">
        <is>
          <t>Outside spending</t>
        </is>
      </c>
      <c r="B6" s="8" t="inlineStr">
        <is>
          <t>continuous</t>
        </is>
      </c>
      <c r="C6" s="7" t="inlineStr">
        <is>
          <t>Reported as it happens; fresher than the candidate totals</t>
        </is>
      </c>
    </row>
    <row r="7">
      <c r="A7" s="5" t="inlineStr">
        <is>
          <t>Data retrieved</t>
        </is>
      </c>
      <c r="B7" s="9" t="inlineStr">
        <is>
          <t>2026-10-24T13:15:11Z</t>
        </is>
      </c>
      <c r="C7" s="7" t="inlineStr">
        <is>
          <t>Next candidate report: October Quarterly, due 2026-10-15</t>
        </is>
      </c>
    </row>
    <row r="9" ht="18" customHeight="1">
      <c r="A9" s="3" t="inlineStr">
        <is>
          <t>MONEY AT A GLANCE</t>
        </is>
      </c>
      <c r="B9" s="4" t="n"/>
      <c r="C9" s="4" t="n"/>
      <c r="D9" s="4" t="n"/>
      <c r="E9" s="4" t="n"/>
      <c r="F9" s="4" t="n"/>
      <c r="G9" s="4" t="n"/>
      <c r="H9" s="4" t="n"/>
    </row>
    <row r="10" ht="32" customHeight="1">
      <c r="A10" s="10" t="inlineStr"/>
      <c r="B10" s="10" t="inlineStr">
        <is>
          <t>Bob Brooks (D)</t>
        </is>
      </c>
      <c r="C10" s="10" t="inlineStr">
        <is>
          <t>Ryan Mackenzie (R)</t>
        </is>
      </c>
      <c r="D10" s="10" t="inlineStr">
        <is>
          <t>R minus D</t>
        </is>
      </c>
      <c r="E10" s="10" t="inlineStr"/>
      <c r="F10" s="10" t="inlineStr"/>
      <c r="G10" s="10" t="inlineStr"/>
      <c r="H10" s="10" t="inlineStr"/>
    </row>
    <row r="11">
      <c r="A11" s="11" t="inlineStr">
        <is>
          <t>Total receipts</t>
        </is>
      </c>
      <c r="B11" s="12">
        <f>'Money Sources'!B18</f>
        <v/>
      </c>
      <c r="C11" s="12">
        <f>'Money Sources'!C18</f>
        <v/>
      </c>
      <c r="D11" s="13">
        <f>IF(AND(ISNUMBER(C11),ISNUMBER(B11)),C11-B11,"")</f>
        <v/>
      </c>
    </row>
    <row r="12">
      <c r="A12" s="14" t="inlineStr">
        <is>
          <t xml:space="preserve">  less: transfers from another committee</t>
        </is>
      </c>
      <c r="B12" s="12">
        <f>'Money Sources'!B19</f>
        <v/>
      </c>
      <c r="C12" s="12">
        <f>'Money Sources'!C19</f>
        <v/>
      </c>
      <c r="D12" s="13">
        <f>IF(AND(ISNUMBER(C12),ISNUMBER(B12)),C12-B12,"")</f>
        <v/>
      </c>
    </row>
    <row r="13">
      <c r="A13" s="15" t="inlineStr">
        <is>
          <t>Receipts excluding transfers</t>
        </is>
      </c>
      <c r="B13" s="16">
        <f>'Money Sources'!B20</f>
        <v/>
      </c>
      <c r="C13" s="16">
        <f>'Money Sources'!C20</f>
        <v/>
      </c>
      <c r="D13" s="17">
        <f>IF(AND(ISNUMBER(C13),ISNUMBER(B13)),C13-B13,"")</f>
        <v/>
      </c>
    </row>
    <row r="14">
      <c r="A14" s="11" t="inlineStr">
        <is>
          <t>Disbursements</t>
        </is>
      </c>
      <c r="B14" s="12">
        <f>'Money Sources'!B31</f>
        <v/>
      </c>
      <c r="C14" s="12">
        <f>'Money Sources'!C31</f>
        <v/>
      </c>
      <c r="D14" s="13">
        <f>IF(AND(ISNUMBER(C14),ISNUMBER(B14)),C14-B14,"")</f>
        <v/>
      </c>
    </row>
    <row r="15">
      <c r="A15" s="15" t="inlineStr">
        <is>
          <t>Cash on hand</t>
        </is>
      </c>
      <c r="B15" s="16">
        <f>'Money Sources'!B32</f>
        <v/>
      </c>
      <c r="C15" s="16">
        <f>'Money Sources'!C32</f>
        <v/>
      </c>
      <c r="D15" s="17">
        <f>IF(AND(ISNUMBER(C15),ISNUMBER(B15)),C15-B15,"")</f>
        <v/>
      </c>
    </row>
    <row r="16">
      <c r="A16" s="11" t="inlineStr">
        <is>
          <t>Debts owed</t>
        </is>
      </c>
      <c r="B16" s="12">
        <f>'Money Sources'!B33</f>
        <v/>
      </c>
      <c r="C16" s="12">
        <f>'Money Sources'!C33</f>
        <v/>
      </c>
      <c r="D16" s="13">
        <f>IF(AND(ISNUMBER(C16),ISNUMBER(B16)),C16-B16,"")</f>
        <v/>
      </c>
    </row>
    <row r="17">
      <c r="A17" s="11" t="inlineStr">
        <is>
          <t>Burn rate (disbursed / raised)</t>
        </is>
      </c>
      <c r="B17" s="18">
        <f>'Money Sources'!B34</f>
        <v/>
      </c>
      <c r="C17" s="18">
        <f>'Money Sources'!C34</f>
        <v/>
      </c>
      <c r="D17" s="19">
        <f>IF(AND(ISNUMBER(C17),ISNUMBER(B17)),C17-B17,"")</f>
        <v/>
      </c>
    </row>
    <row r="19" ht="18" customHeight="1">
      <c r="A19" s="3" t="inlineStr">
        <is>
          <t>OUTSIDE SPENDING</t>
        </is>
      </c>
      <c r="B19" s="4" t="n"/>
      <c r="C19" s="4" t="n"/>
      <c r="D19" s="4" t="n"/>
      <c r="E19" s="4" t="n"/>
      <c r="F19" s="4" t="n"/>
      <c r="G19" s="4" t="n"/>
      <c r="H19" s="4" t="n"/>
    </row>
    <row r="20" ht="32" customHeight="1">
      <c r="A20" s="10" t="inlineStr"/>
      <c r="B20" s="10" t="inlineStr">
        <is>
          <t>Amount</t>
        </is>
      </c>
      <c r="C20" s="10" t="inlineStr">
        <is>
          <t>Share of all outside spending</t>
        </is>
      </c>
      <c r="D20" s="10" t="inlineStr">
        <is>
          <t>Committees</t>
        </is>
      </c>
      <c r="E20" s="10" t="inlineStr"/>
      <c r="F20" s="10" t="inlineStr"/>
      <c r="G20" s="10" t="inlineStr"/>
      <c r="H20" s="10" t="inlineStr"/>
    </row>
    <row r="21">
      <c r="A21" s="15" t="inlineStr">
        <is>
          <t>All independent expenditures about the two nominees</t>
        </is>
      </c>
      <c r="B21" s="16">
        <f>'Outside Money'!D44</f>
        <v/>
      </c>
      <c r="C21" s="20" t="n"/>
      <c r="D21" s="21">
        <f>'Outside Money'!D52</f>
        <v/>
      </c>
    </row>
    <row r="22">
      <c r="A22" s="14" t="inlineStr">
        <is>
          <t>Bob Brooks, supports</t>
        </is>
      </c>
      <c r="B22" s="12">
        <f>'Outside Money'!C48</f>
        <v/>
      </c>
      <c r="C22" s="22">
        <f>IFERROR(B22/$B$21,"")</f>
        <v/>
      </c>
      <c r="D22" s="23">
        <f>'Outside Money'!D48</f>
        <v/>
      </c>
    </row>
    <row r="23">
      <c r="A23" s="14" t="inlineStr">
        <is>
          <t>Bob Brooks, opposes</t>
        </is>
      </c>
      <c r="B23" s="12">
        <f>'Outside Money'!C49</f>
        <v/>
      </c>
      <c r="C23" s="22">
        <f>IFERROR(B23/$B$21,"")</f>
        <v/>
      </c>
      <c r="D23" s="23">
        <f>'Outside Money'!D49</f>
        <v/>
      </c>
    </row>
    <row r="24">
      <c r="A24" s="14" t="inlineStr">
        <is>
          <t>Ryan Mackenzie, supports</t>
        </is>
      </c>
      <c r="B24" s="12">
        <f>'Outside Money'!C50</f>
        <v/>
      </c>
      <c r="C24" s="22">
        <f>IFERROR(B24/$B$21,"")</f>
        <v/>
      </c>
      <c r="D24" s="23">
        <f>'Outside Money'!D50</f>
        <v/>
      </c>
    </row>
    <row r="25">
      <c r="A25" s="14" t="inlineStr">
        <is>
          <t>Ryan Mackenzie, opposes</t>
        </is>
      </c>
      <c r="B25" s="12">
        <f>'Outside Money'!C51</f>
        <v/>
      </c>
      <c r="C25" s="22">
        <f>IFERROR(B25/$B$21,"")</f>
        <v/>
      </c>
      <c r="D25" s="23">
        <f>'Outside Money'!D51</f>
        <v/>
      </c>
    </row>
    <row r="27" ht="18" customHeight="1">
      <c r="A27" s="3" t="inlineStr">
        <is>
          <t>THE LAST FOUR ELECTIONS</t>
        </is>
      </c>
      <c r="B27" s="4" t="n"/>
      <c r="C27" s="4" t="n"/>
      <c r="D27" s="4" t="n"/>
      <c r="E27" s="4" t="n"/>
      <c r="F27" s="4" t="n"/>
      <c r="G27" s="4" t="n"/>
      <c r="H27" s="4" t="n"/>
    </row>
    <row r="28">
      <c r="A28" s="24" t="inlineStr"/>
      <c r="B28" s="25" t="inlineStr">
        <is>
          <t>2018</t>
        </is>
      </c>
      <c r="C28" s="25" t="inlineStr">
        <is>
          <t>2020</t>
        </is>
      </c>
      <c r="D28" s="25" t="inlineStr">
        <is>
          <t>2022</t>
        </is>
      </c>
      <c r="E28" s="25" t="inlineStr">
        <is>
          <t>2024</t>
        </is>
      </c>
    </row>
    <row r="29">
      <c r="A29" s="14" t="inlineStr">
        <is>
          <t>Democratic share of candidate receipts</t>
        </is>
      </c>
      <c r="B29" s="26">
        <f>'Money vs Results'!D6</f>
        <v/>
      </c>
      <c r="C29" s="26">
        <f>'Money vs Results'!D7</f>
        <v/>
      </c>
      <c r="D29" s="26">
        <f>'Money vs Results'!D8</f>
        <v/>
      </c>
      <c r="E29" s="26">
        <f>'Money vs Results'!D9</f>
        <v/>
      </c>
    </row>
    <row r="30">
      <c r="A30" s="14" t="inlineStr">
        <is>
          <t>Democratic share of all aligned money</t>
        </is>
      </c>
      <c r="B30" s="26">
        <f>'Money vs Results'!G6</f>
        <v/>
      </c>
      <c r="C30" s="26">
        <f>'Money vs Results'!G7</f>
        <v/>
      </c>
      <c r="D30" s="26">
        <f>'Money vs Results'!G8</f>
        <v/>
      </c>
      <c r="E30" s="26">
        <f>'Money vs Results'!G9</f>
        <v/>
      </c>
    </row>
    <row r="31">
      <c r="A31" s="14" t="inlineStr">
        <is>
          <t>Democratic two-party vote share</t>
        </is>
      </c>
      <c r="B31" s="26">
        <f>'Money vs Results'!H6</f>
        <v/>
      </c>
      <c r="C31" s="26">
        <f>'Money vs Results'!H7</f>
        <v/>
      </c>
      <c r="D31" s="26">
        <f>'Money vs Results'!H8</f>
        <v/>
      </c>
      <c r="E31" s="26">
        <f>'Money vs Results'!H9</f>
        <v/>
      </c>
    </row>
    <row r="32">
      <c r="A32" s="11" t="inlineStr">
        <is>
          <t>Democratic result</t>
        </is>
      </c>
      <c r="B32" s="27" t="inlineStr">
        <is>
          <t>won</t>
        </is>
      </c>
      <c r="C32" s="27" t="inlineStr">
        <is>
          <t>won</t>
        </is>
      </c>
      <c r="D32" s="27" t="inlineStr">
        <is>
          <t>won</t>
        </is>
      </c>
      <c r="E32" s="27" t="inlineStr">
        <is>
          <t>lost</t>
        </is>
      </c>
    </row>
    <row r="34">
      <c r="A34" s="14" t="inlineStr">
        <is>
          <t>Correlation, candidate receipts share vs vote share (Model A)</t>
        </is>
      </c>
      <c r="B34" s="28">
        <f>'Money vs Results'!B14</f>
        <v/>
      </c>
      <c r="C34" s="29">
        <f>'Money vs Results'!B20</f>
        <v/>
      </c>
    </row>
    <row r="35">
      <c r="A35" s="14" t="inlineStr">
        <is>
          <t>Correlation, all aligned money share vs vote share (Model B)</t>
        </is>
      </c>
      <c r="B35" s="28">
        <f>'Money vs Results'!C14</f>
        <v/>
      </c>
      <c r="C35" s="29">
        <f>'Money vs Results'!C20</f>
        <v/>
      </c>
    </row>
    <row r="37" ht="18" customHeight="1">
      <c r="A37" s="3" t="inlineStr">
        <is>
          <t>TWO FACTS THE MONEY MUST BE READ WITH</t>
        </is>
      </c>
      <c r="B37" s="4" t="n"/>
      <c r="C37" s="4" t="n"/>
      <c r="D37" s="4" t="n"/>
      <c r="E37" s="4" t="n"/>
      <c r="F37" s="4" t="n"/>
      <c r="G37" s="4" t="n"/>
      <c r="H37" s="4" t="n"/>
    </row>
    <row r="38" ht="50" customHeight="1">
      <c r="A38" s="30" t="inlineStr">
        <is>
          <t>1. The two halves are not as of the same date. Candidate totals stop at the latest periodic report and are usually months stale. Outside spending reports continuously. Do not compare a candidate figure and an outside-money figure as though they were measured on the same day.</t>
        </is>
      </c>
      <c r="B38" s="31" t="n"/>
      <c r="C38" s="31" t="n"/>
      <c r="D38" s="31" t="n"/>
      <c r="E38" s="31" t="n"/>
      <c r="F38" s="31" t="n"/>
      <c r="G38" s="31" t="n"/>
      <c r="H38" s="31" t="n"/>
    </row>
    <row r="39" ht="62" customHeight="1">
      <c r="A39" s="30" t="inlineStr">
        <is>
          <t>2. Much of this money was not spent on the November race. The largest outside-spending committees were active in May 2026, inside the contested Democratic primary, and a large share of the Republican nominee's receipts is a transfer from a wound-down joint committee rather than new donor money. The naive reading of the headline totals is wrong in a way that changes the conclusion.</t>
        </is>
      </c>
      <c r="B39" s="31" t="n"/>
      <c r="C39" s="31" t="n"/>
      <c r="D39" s="31" t="n"/>
      <c r="E39" s="31" t="n"/>
      <c r="F39" s="31" t="n"/>
      <c r="G39" s="31" t="n"/>
      <c r="H39" s="31" t="n"/>
    </row>
    <row r="41" ht="24" customHeight="1">
      <c r="A41" s="32" t="inlineStr">
        <is>
          <t>Green figures link to other sheets. Navy figures are computed here. Nothing on this sheet is typed in by hand.</t>
        </is>
      </c>
    </row>
  </sheetData>
  <mergeCells count="3">
    <mergeCell ref="A41:H41"/>
    <mergeCell ref="A38:H38"/>
    <mergeCell ref="A39:H39"/>
  </mergeCells>
  <pageMargins left="0.75" right="0.75" top="1" bottom="1" header="0.5" footer="0.5"/>
</worksheet>
</file>

<file path=xl/worksheets/sheet2.xml><?xml version="1.0" encoding="utf-8"?>
<worksheet xmlns="http://schemas.openxmlformats.org/spreadsheetml/2006/main">
  <sheetPr>
    <tabColor rgb="001F3864"/>
    <outlinePr summaryBelow="1" summaryRight="1"/>
    <pageSetUpPr/>
  </sheetPr>
  <dimension ref="A1:M528"/>
  <sheetViews>
    <sheetView workbookViewId="0">
      <pane ySplit="4" topLeftCell="A5" activePane="bottomLeft" state="frozen"/>
      <selection pane="bottomLeft" activeCell="A1" sqref="A1"/>
    </sheetView>
  </sheetViews>
  <sheetFormatPr baseColWidth="8" defaultRowHeight="15"/>
  <cols>
    <col width="26" customWidth="1" min="1" max="1"/>
    <col width="7" customWidth="1" min="2" max="2"/>
    <col width="17" customWidth="1" min="3" max="3"/>
    <col width="6" customWidth="1" min="4" max="4"/>
    <col width="9" customWidth="1" min="5" max="5"/>
    <col width="30" customWidth="1" min="6" max="6"/>
    <col width="36" customWidth="1" min="7" max="7"/>
    <col width="34" customWidth="1" min="8" max="8"/>
    <col width="16" customWidth="1" min="9" max="9"/>
    <col width="6" customWidth="1" min="10" max="10"/>
    <col width="14" customWidth="1" min="11" max="11"/>
    <col width="9" customWidth="1" min="12" max="12"/>
    <col width="12" customWidth="1" min="13" max="13"/>
  </cols>
  <sheetData>
    <row r="1">
      <c r="A1" s="1" t="inlineStr">
        <is>
          <t>Master data: every figure in this workbook, one row per fact</t>
        </is>
      </c>
    </row>
    <row r="2">
      <c r="A2" s="2" t="inlineStr">
        <is>
          <t>Values, not formulas. Filter on Dataset to isolate one table. Amounts in US dollars; Count is items, filings, gifts or votes depending on the dataset; Date is the coverage or election date.</t>
        </is>
      </c>
    </row>
    <row r="4" ht="32" customHeight="1">
      <c r="A4" s="10" t="inlineStr">
        <is>
          <t>Dataset</t>
        </is>
      </c>
      <c r="B4" s="10" t="inlineStr">
        <is>
          <t>Cycle</t>
        </is>
      </c>
      <c r="C4" s="10" t="inlineStr">
        <is>
          <t>Candidate</t>
        </is>
      </c>
      <c r="D4" s="10" t="inlineStr">
        <is>
          <t>Party</t>
        </is>
      </c>
      <c r="E4" s="10" t="inlineStr">
        <is>
          <t>Stance</t>
        </is>
      </c>
      <c r="F4" s="10" t="inlineStr">
        <is>
          <t>Category</t>
        </is>
      </c>
      <c r="G4" s="10" t="inlineStr">
        <is>
          <t>Item</t>
        </is>
      </c>
      <c r="H4" s="10" t="inlineStr">
        <is>
          <t>Description</t>
        </is>
      </c>
      <c r="I4" s="10" t="inlineStr">
        <is>
          <t>City</t>
        </is>
      </c>
      <c r="J4" s="10" t="inlineStr">
        <is>
          <t>State</t>
        </is>
      </c>
      <c r="K4" s="10" t="inlineStr">
        <is>
          <t>Amount</t>
        </is>
      </c>
      <c r="L4" s="10" t="inlineStr">
        <is>
          <t>Count</t>
        </is>
      </c>
      <c r="M4" s="10" t="inlineStr">
        <is>
          <t>Date</t>
        </is>
      </c>
    </row>
    <row r="5">
      <c r="A5" s="5" t="inlineStr">
        <is>
          <t>candidate_totals</t>
        </is>
      </c>
      <c r="B5" s="5" t="n">
        <v>2026</v>
      </c>
      <c r="C5" s="5" t="inlineStr">
        <is>
          <t>Bob Brooks</t>
        </is>
      </c>
      <c r="D5" s="5" t="inlineStr">
        <is>
          <t>DEM</t>
        </is>
      </c>
      <c r="E5" s="5" t="n"/>
      <c r="F5" s="5" t="n"/>
      <c r="G5" s="5" t="inlineStr">
        <is>
          <t>Receipts</t>
        </is>
      </c>
      <c r="H5" s="5" t="n"/>
      <c r="I5" s="5" t="n"/>
      <c r="J5" s="5" t="n"/>
      <c r="K5" s="33" t="n">
        <v>5347353.38</v>
      </c>
      <c r="L5" s="34" t="n"/>
      <c r="M5" s="5" t="inlineStr">
        <is>
          <t>2026-10-14</t>
        </is>
      </c>
    </row>
    <row r="6">
      <c r="A6" s="5" t="inlineStr">
        <is>
          <t>candidate_totals</t>
        </is>
      </c>
      <c r="B6" s="5" t="n">
        <v>2026</v>
      </c>
      <c r="C6" s="5" t="inlineStr">
        <is>
          <t>Bob Brooks</t>
        </is>
      </c>
      <c r="D6" s="5" t="inlineStr">
        <is>
          <t>DEM</t>
        </is>
      </c>
      <c r="E6" s="5" t="n"/>
      <c r="F6" s="5" t="n"/>
      <c r="G6" s="5" t="inlineStr">
        <is>
          <t>Disbursements</t>
        </is>
      </c>
      <c r="H6" s="5" t="n"/>
      <c r="I6" s="5" t="n"/>
      <c r="J6" s="5" t="n"/>
      <c r="K6" s="33" t="n">
        <v>4605774.87</v>
      </c>
      <c r="L6" s="34" t="n"/>
      <c r="M6" s="5" t="inlineStr">
        <is>
          <t>2026-10-14</t>
        </is>
      </c>
    </row>
    <row r="7">
      <c r="A7" s="5" t="inlineStr">
        <is>
          <t>candidate_totals</t>
        </is>
      </c>
      <c r="B7" s="5" t="n">
        <v>2026</v>
      </c>
      <c r="C7" s="5" t="inlineStr">
        <is>
          <t>Bob Brooks</t>
        </is>
      </c>
      <c r="D7" s="5" t="inlineStr">
        <is>
          <t>DEM</t>
        </is>
      </c>
      <c r="E7" s="5" t="n"/>
      <c r="F7" s="5" t="n"/>
      <c r="G7" s="5" t="inlineStr">
        <is>
          <t>Cash on hand</t>
        </is>
      </c>
      <c r="H7" s="5" t="n"/>
      <c r="I7" s="5" t="n"/>
      <c r="J7" s="5" t="n"/>
      <c r="K7" s="33" t="n">
        <v>741578.51</v>
      </c>
      <c r="L7" s="34" t="n"/>
      <c r="M7" s="5" t="inlineStr">
        <is>
          <t>2026-10-14</t>
        </is>
      </c>
    </row>
    <row r="8">
      <c r="A8" s="5" t="inlineStr">
        <is>
          <t>candidate_totals</t>
        </is>
      </c>
      <c r="B8" s="5" t="n">
        <v>2026</v>
      </c>
      <c r="C8" s="5" t="inlineStr">
        <is>
          <t>Bob Brooks</t>
        </is>
      </c>
      <c r="D8" s="5" t="inlineStr">
        <is>
          <t>DEM</t>
        </is>
      </c>
      <c r="E8" s="5" t="n"/>
      <c r="F8" s="5" t="n"/>
      <c r="G8" s="5" t="inlineStr">
        <is>
          <t>Debts</t>
        </is>
      </c>
      <c r="H8" s="5" t="n"/>
      <c r="I8" s="5" t="n"/>
      <c r="J8" s="5" t="n"/>
      <c r="K8" s="33" t="n">
        <v>15000</v>
      </c>
      <c r="L8" s="34" t="n"/>
      <c r="M8" s="5" t="inlineStr">
        <is>
          <t>2026-10-14</t>
        </is>
      </c>
    </row>
    <row r="9">
      <c r="A9" s="5" t="inlineStr">
        <is>
          <t>candidate_totals</t>
        </is>
      </c>
      <c r="B9" s="5" t="n">
        <v>2026</v>
      </c>
      <c r="C9" s="5" t="inlineStr">
        <is>
          <t>Bob Brooks</t>
        </is>
      </c>
      <c r="D9" s="5" t="inlineStr">
        <is>
          <t>DEM</t>
        </is>
      </c>
      <c r="E9" s="5" t="n"/>
      <c r="F9" s="5" t="n"/>
      <c r="G9" s="5" t="inlineStr">
        <is>
          <t>Individual contributions, total</t>
        </is>
      </c>
      <c r="H9" s="5" t="n"/>
      <c r="I9" s="5" t="n"/>
      <c r="J9" s="5" t="n"/>
      <c r="K9" s="33" t="n">
        <v>4181508.28</v>
      </c>
      <c r="L9" s="34" t="n"/>
      <c r="M9" s="5" t="inlineStr">
        <is>
          <t>2026-10-14</t>
        </is>
      </c>
    </row>
    <row r="10">
      <c r="A10" s="5" t="inlineStr">
        <is>
          <t>candidate_totals</t>
        </is>
      </c>
      <c r="B10" s="5" t="n">
        <v>2026</v>
      </c>
      <c r="C10" s="5" t="inlineStr">
        <is>
          <t>Bob Brooks</t>
        </is>
      </c>
      <c r="D10" s="5" t="inlineStr">
        <is>
          <t>DEM</t>
        </is>
      </c>
      <c r="E10" s="5" t="n"/>
      <c r="F10" s="5" t="n"/>
      <c r="G10" s="5" t="inlineStr">
        <is>
          <t>Individual contributions, itemized (over $200)</t>
        </is>
      </c>
      <c r="H10" s="5" t="n"/>
      <c r="I10" s="5" t="n"/>
      <c r="J10" s="5" t="n"/>
      <c r="K10" s="33" t="n">
        <v>3013669.38</v>
      </c>
      <c r="L10" s="34" t="n"/>
      <c r="M10" s="5" t="inlineStr">
        <is>
          <t>2026-10-14</t>
        </is>
      </c>
    </row>
    <row r="11">
      <c r="A11" s="5" t="inlineStr">
        <is>
          <t>candidate_totals</t>
        </is>
      </c>
      <c r="B11" s="5" t="n">
        <v>2026</v>
      </c>
      <c r="C11" s="5" t="inlineStr">
        <is>
          <t>Bob Brooks</t>
        </is>
      </c>
      <c r="D11" s="5" t="inlineStr">
        <is>
          <t>DEM</t>
        </is>
      </c>
      <c r="E11" s="5" t="n"/>
      <c r="F11" s="5" t="n"/>
      <c r="G11" s="5" t="inlineStr">
        <is>
          <t>Individual contributions, unitemized ($200 or less)</t>
        </is>
      </c>
      <c r="H11" s="5" t="n"/>
      <c r="I11" s="5" t="n"/>
      <c r="J11" s="5" t="n"/>
      <c r="K11" s="33" t="n">
        <v>1167838.9</v>
      </c>
      <c r="L11" s="34" t="n"/>
      <c r="M11" s="5" t="inlineStr">
        <is>
          <t>2026-10-14</t>
        </is>
      </c>
    </row>
    <row r="12">
      <c r="A12" s="5" t="inlineStr">
        <is>
          <t>candidate_totals</t>
        </is>
      </c>
      <c r="B12" s="5" t="n">
        <v>2026</v>
      </c>
      <c r="C12" s="5" t="inlineStr">
        <is>
          <t>Bob Brooks</t>
        </is>
      </c>
      <c r="D12" s="5" t="inlineStr">
        <is>
          <t>DEM</t>
        </is>
      </c>
      <c r="E12" s="5" t="n"/>
      <c r="F12" s="5" t="n"/>
      <c r="G12" s="5" t="inlineStr">
        <is>
          <t>PAC contributions</t>
        </is>
      </c>
      <c r="H12" s="5" t="n"/>
      <c r="I12" s="5" t="n"/>
      <c r="J12" s="5" t="n"/>
      <c r="K12" s="33" t="n">
        <v>634750.03</v>
      </c>
      <c r="L12" s="34" t="n"/>
      <c r="M12" s="5" t="inlineStr">
        <is>
          <t>2026-10-14</t>
        </is>
      </c>
    </row>
    <row r="13">
      <c r="A13" s="5" t="inlineStr">
        <is>
          <t>candidate_totals</t>
        </is>
      </c>
      <c r="B13" s="5" t="n">
        <v>2026</v>
      </c>
      <c r="C13" s="5" t="inlineStr">
        <is>
          <t>Bob Brooks</t>
        </is>
      </c>
      <c r="D13" s="5" t="inlineStr">
        <is>
          <t>DEM</t>
        </is>
      </c>
      <c r="E13" s="5" t="n"/>
      <c r="F13" s="5" t="n"/>
      <c r="G13" s="5" t="inlineStr">
        <is>
          <t>Party committee contributions</t>
        </is>
      </c>
      <c r="H13" s="5" t="n"/>
      <c r="I13" s="5" t="n"/>
      <c r="J13" s="5" t="n"/>
      <c r="K13" s="33" t="n">
        <v>6090.07</v>
      </c>
      <c r="L13" s="34" t="n"/>
      <c r="M13" s="5" t="inlineStr">
        <is>
          <t>2026-10-14</t>
        </is>
      </c>
    </row>
    <row r="14">
      <c r="A14" s="5" t="inlineStr">
        <is>
          <t>candidate_totals</t>
        </is>
      </c>
      <c r="B14" s="5" t="n">
        <v>2026</v>
      </c>
      <c r="C14" s="5" t="inlineStr">
        <is>
          <t>Bob Brooks</t>
        </is>
      </c>
      <c r="D14" s="5" t="inlineStr">
        <is>
          <t>DEM</t>
        </is>
      </c>
      <c r="E14" s="5" t="n"/>
      <c r="F14" s="5" t="n"/>
      <c r="G14" s="5" t="inlineStr">
        <is>
          <t>Transfers from other authorized committee</t>
        </is>
      </c>
      <c r="H14" s="5" t="n"/>
      <c r="I14" s="5" t="n"/>
      <c r="J14" s="5" t="n"/>
      <c r="K14" s="33" t="n">
        <v>508989.33</v>
      </c>
      <c r="L14" s="34" t="n"/>
      <c r="M14" s="5" t="inlineStr">
        <is>
          <t>2026-10-14</t>
        </is>
      </c>
    </row>
    <row r="15">
      <c r="A15" s="5" t="inlineStr">
        <is>
          <t>candidate_totals</t>
        </is>
      </c>
      <c r="B15" s="5" t="n">
        <v>2026</v>
      </c>
      <c r="C15" s="5" t="inlineStr">
        <is>
          <t>Bob Brooks</t>
        </is>
      </c>
      <c r="D15" s="5" t="inlineStr">
        <is>
          <t>DEM</t>
        </is>
      </c>
      <c r="E15" s="5" t="n"/>
      <c r="F15" s="5" t="n"/>
      <c r="G15" s="5" t="inlineStr">
        <is>
          <t>Candidate self-funding</t>
        </is>
      </c>
      <c r="H15" s="5" t="n"/>
      <c r="I15" s="5" t="n"/>
      <c r="J15" s="5" t="n"/>
      <c r="K15" s="33" t="n">
        <v>3500</v>
      </c>
      <c r="L15" s="34" t="n"/>
      <c r="M15" s="5" t="inlineStr">
        <is>
          <t>2026-10-14</t>
        </is>
      </c>
    </row>
    <row r="16">
      <c r="A16" s="5" t="inlineStr">
        <is>
          <t>candidate_totals</t>
        </is>
      </c>
      <c r="B16" s="5" t="n">
        <v>2026</v>
      </c>
      <c r="C16" s="5" t="inlineStr">
        <is>
          <t>Ryan Mackenzie</t>
        </is>
      </c>
      <c r="D16" s="5" t="inlineStr">
        <is>
          <t>REP</t>
        </is>
      </c>
      <c r="E16" s="5" t="n"/>
      <c r="F16" s="5" t="n"/>
      <c r="G16" s="5" t="inlineStr">
        <is>
          <t>Receipts</t>
        </is>
      </c>
      <c r="H16" s="5" t="n"/>
      <c r="I16" s="5" t="n"/>
      <c r="J16" s="5" t="n"/>
      <c r="K16" s="33" t="n">
        <v>5296663.91</v>
      </c>
      <c r="L16" s="34" t="n"/>
      <c r="M16" s="5" t="inlineStr">
        <is>
          <t>2026-10-14</t>
        </is>
      </c>
    </row>
    <row r="17">
      <c r="A17" s="5" t="inlineStr">
        <is>
          <t>candidate_totals</t>
        </is>
      </c>
      <c r="B17" s="5" t="n">
        <v>2026</v>
      </c>
      <c r="C17" s="5" t="inlineStr">
        <is>
          <t>Ryan Mackenzie</t>
        </is>
      </c>
      <c r="D17" s="5" t="inlineStr">
        <is>
          <t>REP</t>
        </is>
      </c>
      <c r="E17" s="5" t="n"/>
      <c r="F17" s="5" t="n"/>
      <c r="G17" s="5" t="inlineStr">
        <is>
          <t>Disbursements</t>
        </is>
      </c>
      <c r="H17" s="5" t="n"/>
      <c r="I17" s="5" t="n"/>
      <c r="J17" s="5" t="n"/>
      <c r="K17" s="33" t="n">
        <v>4329911.24</v>
      </c>
      <c r="L17" s="34" t="n"/>
      <c r="M17" s="5" t="inlineStr">
        <is>
          <t>2026-10-14</t>
        </is>
      </c>
    </row>
    <row r="18">
      <c r="A18" s="5" t="inlineStr">
        <is>
          <t>candidate_totals</t>
        </is>
      </c>
      <c r="B18" s="5" t="n">
        <v>2026</v>
      </c>
      <c r="C18" s="5" t="inlineStr">
        <is>
          <t>Ryan Mackenzie</t>
        </is>
      </c>
      <c r="D18" s="5" t="inlineStr">
        <is>
          <t>REP</t>
        </is>
      </c>
      <c r="E18" s="5" t="n"/>
      <c r="F18" s="5" t="n"/>
      <c r="G18" s="5" t="inlineStr">
        <is>
          <t>Cash on hand</t>
        </is>
      </c>
      <c r="H18" s="5" t="n"/>
      <c r="I18" s="5" t="n"/>
      <c r="J18" s="5" t="n"/>
      <c r="K18" s="33" t="n">
        <v>1069992.58</v>
      </c>
      <c r="L18" s="34" t="n"/>
      <c r="M18" s="5" t="inlineStr">
        <is>
          <t>2026-10-14</t>
        </is>
      </c>
    </row>
    <row r="19">
      <c r="A19" s="5" t="inlineStr">
        <is>
          <t>candidate_totals</t>
        </is>
      </c>
      <c r="B19" s="5" t="n">
        <v>2026</v>
      </c>
      <c r="C19" s="5" t="inlineStr">
        <is>
          <t>Ryan Mackenzie</t>
        </is>
      </c>
      <c r="D19" s="5" t="inlineStr">
        <is>
          <t>REP</t>
        </is>
      </c>
      <c r="E19" s="5" t="n"/>
      <c r="F19" s="5" t="n"/>
      <c r="G19" s="5" t="inlineStr">
        <is>
          <t>Debts</t>
        </is>
      </c>
      <c r="H19" s="5" t="n"/>
      <c r="I19" s="5" t="n"/>
      <c r="J19" s="5" t="n"/>
      <c r="K19" s="33" t="n">
        <v>1371.28</v>
      </c>
      <c r="L19" s="34" t="n"/>
      <c r="M19" s="5" t="inlineStr">
        <is>
          <t>2026-10-14</t>
        </is>
      </c>
    </row>
    <row r="20">
      <c r="A20" s="5" t="inlineStr">
        <is>
          <t>candidate_totals</t>
        </is>
      </c>
      <c r="B20" s="5" t="n">
        <v>2026</v>
      </c>
      <c r="C20" s="5" t="inlineStr">
        <is>
          <t>Ryan Mackenzie</t>
        </is>
      </c>
      <c r="D20" s="5" t="inlineStr">
        <is>
          <t>REP</t>
        </is>
      </c>
      <c r="E20" s="5" t="n"/>
      <c r="F20" s="5" t="n"/>
      <c r="G20" s="5" t="inlineStr">
        <is>
          <t>Individual contributions, total</t>
        </is>
      </c>
      <c r="H20" s="5" t="n"/>
      <c r="I20" s="5" t="n"/>
      <c r="J20" s="5" t="n"/>
      <c r="K20" s="33" t="n">
        <v>1902194.06</v>
      </c>
      <c r="L20" s="34" t="n"/>
      <c r="M20" s="5" t="inlineStr">
        <is>
          <t>2026-10-14</t>
        </is>
      </c>
    </row>
    <row r="21">
      <c r="A21" s="5" t="inlineStr">
        <is>
          <t>candidate_totals</t>
        </is>
      </c>
      <c r="B21" s="5" t="n">
        <v>2026</v>
      </c>
      <c r="C21" s="5" t="inlineStr">
        <is>
          <t>Ryan Mackenzie</t>
        </is>
      </c>
      <c r="D21" s="5" t="inlineStr">
        <is>
          <t>REP</t>
        </is>
      </c>
      <c r="E21" s="5" t="n"/>
      <c r="F21" s="5" t="n"/>
      <c r="G21" s="5" t="inlineStr">
        <is>
          <t>Individual contributions, itemized (over $200)</t>
        </is>
      </c>
      <c r="H21" s="5" t="n"/>
      <c r="I21" s="5" t="n"/>
      <c r="J21" s="5" t="n"/>
      <c r="K21" s="33" t="n">
        <v>1235807.18</v>
      </c>
      <c r="L21" s="34" t="n"/>
      <c r="M21" s="5" t="inlineStr">
        <is>
          <t>2026-10-14</t>
        </is>
      </c>
    </row>
    <row r="22">
      <c r="A22" s="5" t="inlineStr">
        <is>
          <t>candidate_totals</t>
        </is>
      </c>
      <c r="B22" s="5" t="n">
        <v>2026</v>
      </c>
      <c r="C22" s="5" t="inlineStr">
        <is>
          <t>Ryan Mackenzie</t>
        </is>
      </c>
      <c r="D22" s="5" t="inlineStr">
        <is>
          <t>REP</t>
        </is>
      </c>
      <c r="E22" s="5" t="n"/>
      <c r="F22" s="5" t="n"/>
      <c r="G22" s="5" t="inlineStr">
        <is>
          <t>Individual contributions, unitemized ($200 or less)</t>
        </is>
      </c>
      <c r="H22" s="5" t="n"/>
      <c r="I22" s="5" t="n"/>
      <c r="J22" s="5" t="n"/>
      <c r="K22" s="33" t="n">
        <v>666386.88</v>
      </c>
      <c r="L22" s="34" t="n"/>
      <c r="M22" s="5" t="inlineStr">
        <is>
          <t>2026-10-14</t>
        </is>
      </c>
    </row>
    <row r="23">
      <c r="A23" s="5" t="inlineStr">
        <is>
          <t>candidate_totals</t>
        </is>
      </c>
      <c r="B23" s="5" t="n">
        <v>2026</v>
      </c>
      <c r="C23" s="5" t="inlineStr">
        <is>
          <t>Ryan Mackenzie</t>
        </is>
      </c>
      <c r="D23" s="5" t="inlineStr">
        <is>
          <t>REP</t>
        </is>
      </c>
      <c r="E23" s="5" t="n"/>
      <c r="F23" s="5" t="n"/>
      <c r="G23" s="5" t="inlineStr">
        <is>
          <t>PAC contributions</t>
        </is>
      </c>
      <c r="H23" s="5" t="n"/>
      <c r="I23" s="5" t="n"/>
      <c r="J23" s="5" t="n"/>
      <c r="K23" s="33" t="n">
        <v>1314712.78</v>
      </c>
      <c r="L23" s="34" t="n"/>
      <c r="M23" s="5" t="inlineStr">
        <is>
          <t>2026-10-14</t>
        </is>
      </c>
    </row>
    <row r="24">
      <c r="A24" s="5" t="inlineStr">
        <is>
          <t>candidate_totals</t>
        </is>
      </c>
      <c r="B24" s="5" t="n">
        <v>2026</v>
      </c>
      <c r="C24" s="5" t="inlineStr">
        <is>
          <t>Ryan Mackenzie</t>
        </is>
      </c>
      <c r="D24" s="5" t="inlineStr">
        <is>
          <t>REP</t>
        </is>
      </c>
      <c r="E24" s="5" t="n"/>
      <c r="F24" s="5" t="n"/>
      <c r="G24" s="5" t="inlineStr">
        <is>
          <t>Party committee contributions</t>
        </is>
      </c>
      <c r="H24" s="5" t="n"/>
      <c r="I24" s="5" t="n"/>
      <c r="J24" s="5" t="n"/>
      <c r="K24" s="33" t="n">
        <v>10000</v>
      </c>
      <c r="L24" s="34" t="n"/>
      <c r="M24" s="5" t="inlineStr">
        <is>
          <t>2026-10-14</t>
        </is>
      </c>
    </row>
    <row r="25">
      <c r="A25" s="5" t="inlineStr">
        <is>
          <t>candidate_totals</t>
        </is>
      </c>
      <c r="B25" s="5" t="n">
        <v>2026</v>
      </c>
      <c r="C25" s="5" t="inlineStr">
        <is>
          <t>Ryan Mackenzie</t>
        </is>
      </c>
      <c r="D25" s="5" t="inlineStr">
        <is>
          <t>REP</t>
        </is>
      </c>
      <c r="E25" s="5" t="n"/>
      <c r="F25" s="5" t="n"/>
      <c r="G25" s="5" t="inlineStr">
        <is>
          <t>Transfers from other authorized committee</t>
        </is>
      </c>
      <c r="H25" s="5" t="n"/>
      <c r="I25" s="5" t="n"/>
      <c r="J25" s="5" t="n"/>
      <c r="K25" s="33" t="n">
        <v>2020364.92</v>
      </c>
      <c r="L25" s="34" t="n"/>
      <c r="M25" s="5" t="inlineStr">
        <is>
          <t>2026-10-14</t>
        </is>
      </c>
    </row>
    <row r="26">
      <c r="A26" s="5" t="inlineStr">
        <is>
          <t>candidate_totals</t>
        </is>
      </c>
      <c r="B26" s="5" t="n">
        <v>2026</v>
      </c>
      <c r="C26" s="5" t="inlineStr">
        <is>
          <t>Ryan Mackenzie</t>
        </is>
      </c>
      <c r="D26" s="5" t="inlineStr">
        <is>
          <t>REP</t>
        </is>
      </c>
      <c r="E26" s="5" t="n"/>
      <c r="F26" s="5" t="n"/>
      <c r="G26" s="5" t="inlineStr">
        <is>
          <t>Candidate self-funding</t>
        </is>
      </c>
      <c r="H26" s="5" t="n"/>
      <c r="I26" s="5" t="n"/>
      <c r="J26" s="5" t="n"/>
      <c r="K26" s="33" t="n">
        <v>0</v>
      </c>
      <c r="L26" s="34" t="n"/>
      <c r="M26" s="5" t="inlineStr">
        <is>
          <t>2026-10-14</t>
        </is>
      </c>
    </row>
    <row r="27">
      <c r="A27" s="5" t="inlineStr">
        <is>
          <t>outside_by_committee</t>
        </is>
      </c>
      <c r="B27" s="5" t="n">
        <v>2026</v>
      </c>
      <c r="C27" s="5" t="inlineStr">
        <is>
          <t>Bob Brooks</t>
        </is>
      </c>
      <c r="D27" s="5" t="n"/>
      <c r="E27" s="5" t="inlineStr">
        <is>
          <t>Supports</t>
        </is>
      </c>
      <c r="F27" s="5" t="n"/>
      <c r="G27" s="5" t="inlineStr">
        <is>
          <t>STRONGER TOGETHER PA</t>
        </is>
      </c>
      <c r="H27" s="5" t="n"/>
      <c r="I27" s="5" t="n"/>
      <c r="J27" s="5" t="n"/>
      <c r="K27" s="33" t="n">
        <v>1781524</v>
      </c>
      <c r="L27" s="34" t="n">
        <v>21</v>
      </c>
      <c r="M27" s="5" t="n"/>
    </row>
    <row r="28">
      <c r="A28" s="5" t="inlineStr">
        <is>
          <t>outside_by_committee</t>
        </is>
      </c>
      <c r="B28" s="5" t="n">
        <v>2026</v>
      </c>
      <c r="C28" s="5" t="inlineStr">
        <is>
          <t>Ryan Mackenzie</t>
        </is>
      </c>
      <c r="D28" s="5" t="n"/>
      <c r="E28" s="5" t="inlineStr">
        <is>
          <t>Opposes</t>
        </is>
      </c>
      <c r="F28" s="5" t="n"/>
      <c r="G28" s="5" t="inlineStr">
        <is>
          <t>HMP</t>
        </is>
      </c>
      <c r="H28" s="5" t="n"/>
      <c r="I28" s="5" t="n"/>
      <c r="J28" s="5" t="n"/>
      <c r="K28" s="33" t="n">
        <v>556259.9300000001</v>
      </c>
      <c r="L28" s="34" t="n">
        <v>11</v>
      </c>
      <c r="M28" s="5" t="n"/>
    </row>
    <row r="29">
      <c r="A29" s="5" t="inlineStr">
        <is>
          <t>outside_by_committee</t>
        </is>
      </c>
      <c r="B29" s="5" t="n">
        <v>2026</v>
      </c>
      <c r="C29" s="5" t="inlineStr">
        <is>
          <t>Bob Brooks</t>
        </is>
      </c>
      <c r="D29" s="5" t="n"/>
      <c r="E29" s="5" t="inlineStr">
        <is>
          <t>Opposes</t>
        </is>
      </c>
      <c r="F29" s="5" t="n"/>
      <c r="G29" s="5" t="inlineStr">
        <is>
          <t>LEAD LEFT PAC</t>
        </is>
      </c>
      <c r="H29" s="5" t="n"/>
      <c r="I29" s="5" t="n"/>
      <c r="J29" s="5" t="n"/>
      <c r="K29" s="33" t="n">
        <v>312371.76</v>
      </c>
      <c r="L29" s="34" t="n">
        <v>7</v>
      </c>
      <c r="M29" s="5" t="n"/>
    </row>
    <row r="30">
      <c r="A30" s="5" t="inlineStr">
        <is>
          <t>outside_by_committee</t>
        </is>
      </c>
      <c r="B30" s="5" t="n">
        <v>2026</v>
      </c>
      <c r="C30" s="5" t="inlineStr">
        <is>
          <t>Bob Brooks</t>
        </is>
      </c>
      <c r="D30" s="5" t="n"/>
      <c r="E30" s="5" t="inlineStr">
        <is>
          <t>Supports</t>
        </is>
      </c>
      <c r="F30" s="5" t="n"/>
      <c r="G30" s="5" t="inlineStr">
        <is>
          <t>JOBS AND DEMOCRACY PAC</t>
        </is>
      </c>
      <c r="H30" s="5" t="n"/>
      <c r="I30" s="5" t="n"/>
      <c r="J30" s="5" t="n"/>
      <c r="K30" s="33" t="n">
        <v>249750</v>
      </c>
      <c r="L30" s="34" t="n">
        <v>1</v>
      </c>
      <c r="M30" s="5" t="n"/>
    </row>
    <row r="31">
      <c r="A31" s="5" t="inlineStr">
        <is>
          <t>outside_by_committee</t>
        </is>
      </c>
      <c r="B31" s="5" t="n">
        <v>2026</v>
      </c>
      <c r="C31" s="5" t="inlineStr">
        <is>
          <t>Bob Brooks</t>
        </is>
      </c>
      <c r="D31" s="5" t="n"/>
      <c r="E31" s="5" t="inlineStr">
        <is>
          <t>Supports</t>
        </is>
      </c>
      <c r="F31" s="5" t="n"/>
      <c r="G31" s="5" t="inlineStr">
        <is>
          <t>CONGRESSIONAL PROGRESSIVE CAUCUS PAC</t>
        </is>
      </c>
      <c r="H31" s="5" t="n"/>
      <c r="I31" s="5" t="n"/>
      <c r="J31" s="5" t="n"/>
      <c r="K31" s="33" t="n">
        <v>140300</v>
      </c>
      <c r="L31" s="34" t="n">
        <v>2</v>
      </c>
      <c r="M31" s="5" t="n"/>
    </row>
    <row r="32">
      <c r="A32" s="5" t="inlineStr">
        <is>
          <t>outside_by_committee</t>
        </is>
      </c>
      <c r="B32" s="5" t="n">
        <v>2026</v>
      </c>
      <c r="C32" s="5" t="inlineStr">
        <is>
          <t>Bob Brooks</t>
        </is>
      </c>
      <c r="D32" s="5" t="n"/>
      <c r="E32" s="5" t="inlineStr">
        <is>
          <t>Supports</t>
        </is>
      </c>
      <c r="F32" s="5" t="n"/>
      <c r="G32" s="5" t="inlineStr">
        <is>
          <t>MEDICARE FOR ALL</t>
        </is>
      </c>
      <c r="H32" s="5" t="n"/>
      <c r="I32" s="5" t="n"/>
      <c r="J32" s="5" t="n"/>
      <c r="K32" s="33" t="n">
        <v>99625</v>
      </c>
      <c r="L32" s="34" t="n">
        <v>2</v>
      </c>
      <c r="M32" s="5" t="n"/>
    </row>
    <row r="33">
      <c r="A33" s="5" t="inlineStr">
        <is>
          <t>outside_by_committee</t>
        </is>
      </c>
      <c r="B33" s="5" t="n">
        <v>2026</v>
      </c>
      <c r="C33" s="5" t="inlineStr">
        <is>
          <t>Bob Brooks</t>
        </is>
      </c>
      <c r="D33" s="5" t="n"/>
      <c r="E33" s="5" t="inlineStr">
        <is>
          <t>Supports</t>
        </is>
      </c>
      <c r="F33" s="5" t="n"/>
      <c r="G33" s="5" t="inlineStr">
        <is>
          <t>DLP PAC</t>
        </is>
      </c>
      <c r="H33" s="5" t="n"/>
      <c r="I33" s="5" t="n"/>
      <c r="J33" s="5" t="n"/>
      <c r="K33" s="33" t="n">
        <v>88321.5</v>
      </c>
      <c r="L33" s="34" t="n">
        <v>4</v>
      </c>
      <c r="M33" s="5" t="n"/>
    </row>
    <row r="34">
      <c r="A34" s="5" t="inlineStr">
        <is>
          <t>outside_by_committee</t>
        </is>
      </c>
      <c r="B34" s="5" t="n">
        <v>2026</v>
      </c>
      <c r="C34" s="5" t="inlineStr">
        <is>
          <t>Bob Brooks</t>
        </is>
      </c>
      <c r="D34" s="5" t="n"/>
      <c r="E34" s="5" t="inlineStr">
        <is>
          <t>Supports</t>
        </is>
      </c>
      <c r="F34" s="5" t="n"/>
      <c r="G34" s="5" t="inlineStr">
        <is>
          <t>WORKING FAMILIES PARTY PAC</t>
        </is>
      </c>
      <c r="H34" s="5" t="n"/>
      <c r="I34" s="5" t="n"/>
      <c r="J34" s="5" t="n"/>
      <c r="K34" s="33" t="n">
        <v>41020.59</v>
      </c>
      <c r="L34" s="34" t="n">
        <v>3</v>
      </c>
      <c r="M34" s="5" t="n"/>
    </row>
    <row r="35">
      <c r="A35" s="5" t="inlineStr">
        <is>
          <t>outside_by_committee</t>
        </is>
      </c>
      <c r="B35" s="5" t="n">
        <v>2026</v>
      </c>
      <c r="C35" s="5" t="inlineStr">
        <is>
          <t>Bob Brooks</t>
        </is>
      </c>
      <c r="D35" s="5" t="n"/>
      <c r="E35" s="5" t="inlineStr">
        <is>
          <t>Supports</t>
        </is>
      </c>
      <c r="F35" s="5" t="n"/>
      <c r="G35" s="5" t="inlineStr">
        <is>
          <t>RURAL FREEDOM NETWORK</t>
        </is>
      </c>
      <c r="H35" s="5" t="n"/>
      <c r="I35" s="5" t="n"/>
      <c r="J35" s="5" t="n"/>
      <c r="K35" s="33" t="n">
        <v>30756.92</v>
      </c>
      <c r="L35" s="34" t="n">
        <v>5</v>
      </c>
      <c r="M35" s="5" t="n"/>
    </row>
    <row r="36">
      <c r="A36" s="5" t="inlineStr">
        <is>
          <t>outside_by_committee</t>
        </is>
      </c>
      <c r="B36" s="5" t="n">
        <v>2026</v>
      </c>
      <c r="C36" s="5" t="inlineStr">
        <is>
          <t>Bob Brooks</t>
        </is>
      </c>
      <c r="D36" s="5" t="n"/>
      <c r="E36" s="5" t="inlineStr">
        <is>
          <t>Supports</t>
        </is>
      </c>
      <c r="F36" s="5" t="n"/>
      <c r="G36" s="5" t="inlineStr">
        <is>
          <t>MAKE THE ROAD ACTION POLITICAL COMMITTEE</t>
        </is>
      </c>
      <c r="H36" s="5" t="n"/>
      <c r="I36" s="5" t="n"/>
      <c r="J36" s="5" t="n"/>
      <c r="K36" s="33" t="n">
        <v>30559.95</v>
      </c>
      <c r="L36" s="34" t="n">
        <v>9</v>
      </c>
      <c r="M36" s="5" t="n"/>
    </row>
    <row r="37">
      <c r="A37" s="5" t="inlineStr">
        <is>
          <t>outside_by_committee</t>
        </is>
      </c>
      <c r="B37" s="5" t="n">
        <v>2026</v>
      </c>
      <c r="C37" s="5" t="inlineStr">
        <is>
          <t>Bob Brooks</t>
        </is>
      </c>
      <c r="D37" s="5" t="n"/>
      <c r="E37" s="5" t="inlineStr">
        <is>
          <t>Supports</t>
        </is>
      </c>
      <c r="F37" s="5" t="n"/>
      <c r="G37" s="5" t="inlineStr">
        <is>
          <t>HMP</t>
        </is>
      </c>
      <c r="H37" s="5" t="n"/>
      <c r="I37" s="5" t="n"/>
      <c r="J37" s="5" t="n"/>
      <c r="K37" s="33" t="n">
        <v>30281.38</v>
      </c>
      <c r="L37" s="34" t="n">
        <v>4</v>
      </c>
      <c r="M37" s="5" t="n"/>
    </row>
    <row r="38">
      <c r="A38" s="5" t="inlineStr">
        <is>
          <t>outside_by_committee</t>
        </is>
      </c>
      <c r="B38" s="5" t="n">
        <v>2026</v>
      </c>
      <c r="C38" s="5" t="inlineStr">
        <is>
          <t>Ryan Mackenzie</t>
        </is>
      </c>
      <c r="D38" s="5" t="n"/>
      <c r="E38" s="5" t="inlineStr">
        <is>
          <t>Opposes</t>
        </is>
      </c>
      <c r="F38" s="5" t="n"/>
      <c r="G38" s="5" t="inlineStr">
        <is>
          <t>IN UNION USA</t>
        </is>
      </c>
      <c r="H38" s="5" t="n"/>
      <c r="I38" s="5" t="n"/>
      <c r="J38" s="5" t="n"/>
      <c r="K38" s="33" t="n">
        <v>26382.22</v>
      </c>
      <c r="L38" s="34" t="n">
        <v>1</v>
      </c>
      <c r="M38" s="5" t="n"/>
    </row>
    <row r="39">
      <c r="A39" s="5" t="inlineStr">
        <is>
          <t>outside_by_committee</t>
        </is>
      </c>
      <c r="B39" s="5" t="n">
        <v>2026</v>
      </c>
      <c r="C39" s="5" t="inlineStr">
        <is>
          <t>Bob Brooks</t>
        </is>
      </c>
      <c r="D39" s="5" t="n"/>
      <c r="E39" s="5" t="inlineStr">
        <is>
          <t>Supports</t>
        </is>
      </c>
      <c r="F39" s="5" t="n"/>
      <c r="G39" s="5" t="inlineStr">
        <is>
          <t>SENIORS EMPOWERING AN EFFECTIVE DEMOCRACY (SEED-PAC)</t>
        </is>
      </c>
      <c r="H39" s="5" t="n"/>
      <c r="I39" s="5" t="n"/>
      <c r="J39" s="5" t="n"/>
      <c r="K39" s="33" t="n">
        <v>24592.37</v>
      </c>
      <c r="L39" s="34" t="n">
        <v>4</v>
      </c>
      <c r="M39" s="5" t="n"/>
    </row>
    <row r="40">
      <c r="A40" s="5" t="inlineStr">
        <is>
          <t>outside_by_committee</t>
        </is>
      </c>
      <c r="B40" s="5" t="n">
        <v>2026</v>
      </c>
      <c r="C40" s="5" t="inlineStr">
        <is>
          <t>Bob Brooks</t>
        </is>
      </c>
      <c r="D40" s="5" t="n"/>
      <c r="E40" s="5" t="inlineStr">
        <is>
          <t>Supports</t>
        </is>
      </c>
      <c r="F40" s="5" t="n"/>
      <c r="G40" s="5" t="inlineStr">
        <is>
          <t>PROGRESSIVE TURNOUT PROJECT</t>
        </is>
      </c>
      <c r="H40" s="5" t="n"/>
      <c r="I40" s="5" t="n"/>
      <c r="J40" s="5" t="n"/>
      <c r="K40" s="33" t="n">
        <v>23285.26</v>
      </c>
      <c r="L40" s="34" t="n">
        <v>1</v>
      </c>
      <c r="M40" s="5" t="n"/>
    </row>
    <row r="41">
      <c r="A41" s="5" t="inlineStr">
        <is>
          <t>outside_by_committee</t>
        </is>
      </c>
      <c r="B41" s="5" t="n">
        <v>2026</v>
      </c>
      <c r="C41" s="5" t="inlineStr">
        <is>
          <t>Bob Brooks</t>
        </is>
      </c>
      <c r="D41" s="5" t="n"/>
      <c r="E41" s="5" t="inlineStr">
        <is>
          <t>Supports</t>
        </is>
      </c>
      <c r="F41" s="5" t="n"/>
      <c r="G41" s="5" t="inlineStr">
        <is>
          <t>BLUE MAJORITY PROJECT</t>
        </is>
      </c>
      <c r="H41" s="5" t="n"/>
      <c r="I41" s="5" t="n"/>
      <c r="J41" s="5" t="n"/>
      <c r="K41" s="33" t="n">
        <v>16643.34</v>
      </c>
      <c r="L41" s="34" t="n">
        <v>3</v>
      </c>
      <c r="M41" s="5" t="n"/>
    </row>
    <row r="42">
      <c r="A42" s="5" t="inlineStr">
        <is>
          <t>outside_by_committee</t>
        </is>
      </c>
      <c r="B42" s="5" t="n">
        <v>2026</v>
      </c>
      <c r="C42" s="5" t="inlineStr">
        <is>
          <t>Bob Brooks</t>
        </is>
      </c>
      <c r="D42" s="5" t="n"/>
      <c r="E42" s="5" t="inlineStr">
        <is>
          <t>Supports</t>
        </is>
      </c>
      <c r="F42" s="5" t="n"/>
      <c r="G42" s="5" t="inlineStr">
        <is>
          <t>THOMAS PAINE SOCIETY L.L.C.</t>
        </is>
      </c>
      <c r="H42" s="5" t="n"/>
      <c r="I42" s="5" t="n"/>
      <c r="J42" s="5" t="n"/>
      <c r="K42" s="33" t="n">
        <v>15852</v>
      </c>
      <c r="L42" s="34" t="n">
        <v>5</v>
      </c>
      <c r="M42" s="5" t="n"/>
    </row>
    <row r="43">
      <c r="A43" s="5" t="inlineStr">
        <is>
          <t>outside_by_committee</t>
        </is>
      </c>
      <c r="B43" s="5" t="n">
        <v>2026</v>
      </c>
      <c r="C43" s="5" t="inlineStr">
        <is>
          <t>Bob Brooks</t>
        </is>
      </c>
      <c r="D43" s="5" t="n"/>
      <c r="E43" s="5" t="inlineStr">
        <is>
          <t>Supports</t>
        </is>
      </c>
      <c r="F43" s="5" t="n"/>
      <c r="G43" s="5" t="inlineStr">
        <is>
          <t>BLUE BATTLEGROUND PROJECT</t>
        </is>
      </c>
      <c r="H43" s="5" t="n"/>
      <c r="I43" s="5" t="n"/>
      <c r="J43" s="5" t="n"/>
      <c r="K43" s="33" t="n">
        <v>9116.67</v>
      </c>
      <c r="L43" s="34" t="n">
        <v>1</v>
      </c>
      <c r="M43" s="5" t="n"/>
    </row>
    <row r="44">
      <c r="A44" s="5" t="inlineStr">
        <is>
          <t>outside_by_committee</t>
        </is>
      </c>
      <c r="B44" s="5" t="n">
        <v>2026</v>
      </c>
      <c r="C44" s="5" t="inlineStr">
        <is>
          <t>Bob Brooks</t>
        </is>
      </c>
      <c r="D44" s="5" t="n"/>
      <c r="E44" s="5" t="inlineStr">
        <is>
          <t>Opposes</t>
        </is>
      </c>
      <c r="F44" s="5" t="n"/>
      <c r="G44" s="5" t="inlineStr">
        <is>
          <t>KITCHEN TABLE VALUES PAC</t>
        </is>
      </c>
      <c r="H44" s="5" t="n"/>
      <c r="I44" s="5" t="n"/>
      <c r="J44" s="5" t="n"/>
      <c r="K44" s="33" t="n">
        <v>8840</v>
      </c>
      <c r="L44" s="34" t="n">
        <v>5</v>
      </c>
      <c r="M44" s="5" t="n"/>
    </row>
    <row r="45">
      <c r="A45" s="5" t="inlineStr">
        <is>
          <t>outside_by_committee</t>
        </is>
      </c>
      <c r="B45" s="5" t="n">
        <v>2026</v>
      </c>
      <c r="C45" s="5" t="inlineStr">
        <is>
          <t>Ryan Mackenzie</t>
        </is>
      </c>
      <c r="D45" s="5" t="n"/>
      <c r="E45" s="5" t="inlineStr">
        <is>
          <t>Opposes</t>
        </is>
      </c>
      <c r="F45" s="5" t="n"/>
      <c r="G45" s="5" t="inlineStr">
        <is>
          <t>YOUTH SAVE DEMOCRACY PAC</t>
        </is>
      </c>
      <c r="H45" s="5" t="n"/>
      <c r="I45" s="5" t="n"/>
      <c r="J45" s="5" t="n"/>
      <c r="K45" s="33" t="n">
        <v>6044</v>
      </c>
      <c r="L45" s="34" t="n">
        <v>1</v>
      </c>
      <c r="M45" s="5" t="n"/>
    </row>
    <row r="46">
      <c r="A46" s="5" t="inlineStr">
        <is>
          <t>outside_by_committee</t>
        </is>
      </c>
      <c r="B46" s="5" t="n">
        <v>2026</v>
      </c>
      <c r="C46" s="5" t="inlineStr">
        <is>
          <t>Bob Brooks</t>
        </is>
      </c>
      <c r="D46" s="5" t="n"/>
      <c r="E46" s="5" t="inlineStr">
        <is>
          <t>Supports</t>
        </is>
      </c>
      <c r="F46" s="5" t="n"/>
      <c r="G46" s="5" t="inlineStr">
        <is>
          <t>MAJORITY BLUE PAC</t>
        </is>
      </c>
      <c r="H46" s="5" t="n"/>
      <c r="I46" s="5" t="n"/>
      <c r="J46" s="5" t="n"/>
      <c r="K46" s="33" t="n">
        <v>4941.66</v>
      </c>
      <c r="L46" s="34" t="n">
        <v>2</v>
      </c>
      <c r="M46" s="5" t="n"/>
    </row>
    <row r="47">
      <c r="A47" s="5" t="inlineStr">
        <is>
          <t>outside_by_committee</t>
        </is>
      </c>
      <c r="B47" s="5" t="n">
        <v>2026</v>
      </c>
      <c r="C47" s="5" t="inlineStr">
        <is>
          <t>Bob Brooks</t>
        </is>
      </c>
      <c r="D47" s="5" t="n"/>
      <c r="E47" s="5" t="inlineStr">
        <is>
          <t>Supports</t>
        </is>
      </c>
      <c r="F47" s="5" t="n"/>
      <c r="G47" s="5" t="inlineStr">
        <is>
          <t>BLUE SHIFT PAC</t>
        </is>
      </c>
      <c r="H47" s="5" t="n"/>
      <c r="I47" s="5" t="n"/>
      <c r="J47" s="5" t="n"/>
      <c r="K47" s="33" t="n">
        <v>4708.33</v>
      </c>
      <c r="L47" s="34" t="n">
        <v>2</v>
      </c>
      <c r="M47" s="5" t="n"/>
    </row>
    <row r="48">
      <c r="A48" s="5" t="inlineStr">
        <is>
          <t>outside_by_committee</t>
        </is>
      </c>
      <c r="B48" s="5" t="n">
        <v>2026</v>
      </c>
      <c r="C48" s="5" t="inlineStr">
        <is>
          <t>Bob Brooks</t>
        </is>
      </c>
      <c r="D48" s="5" t="n"/>
      <c r="E48" s="5" t="inlineStr">
        <is>
          <t>Supports</t>
        </is>
      </c>
      <c r="F48" s="5" t="n"/>
      <c r="G48" s="5" t="inlineStr">
        <is>
          <t>FF PAC</t>
        </is>
      </c>
      <c r="H48" s="5" t="n"/>
      <c r="I48" s="5" t="n"/>
      <c r="J48" s="5" t="n"/>
      <c r="K48" s="33" t="n">
        <v>4500</v>
      </c>
      <c r="L48" s="34" t="n">
        <v>2</v>
      </c>
      <c r="M48" s="5" t="n"/>
    </row>
    <row r="49">
      <c r="A49" s="5" t="inlineStr">
        <is>
          <t>outside_by_committee</t>
        </is>
      </c>
      <c r="B49" s="5" t="n">
        <v>2026</v>
      </c>
      <c r="C49" s="5" t="inlineStr">
        <is>
          <t>Bob Brooks</t>
        </is>
      </c>
      <c r="D49" s="5" t="n"/>
      <c r="E49" s="5" t="inlineStr">
        <is>
          <t>Supports</t>
        </is>
      </c>
      <c r="F49" s="5" t="n"/>
      <c r="G49" s="5" t="inlineStr">
        <is>
          <t>SEIU COPE (SERVICE EMPLOYEES INTERNATIONAL UNION COMMITTEE ON POLITICAL EDUCATION)</t>
        </is>
      </c>
      <c r="H49" s="5" t="n"/>
      <c r="I49" s="5" t="n"/>
      <c r="J49" s="5" t="n"/>
      <c r="K49" s="33" t="n">
        <v>3140.99</v>
      </c>
      <c r="L49" s="34" t="n">
        <v>3</v>
      </c>
      <c r="M49" s="5" t="n"/>
    </row>
    <row r="50">
      <c r="A50" s="5" t="inlineStr">
        <is>
          <t>outside_by_committee</t>
        </is>
      </c>
      <c r="B50" s="5" t="n">
        <v>2026</v>
      </c>
      <c r="C50" s="5" t="inlineStr">
        <is>
          <t>Bob Brooks</t>
        </is>
      </c>
      <c r="D50" s="5" t="n"/>
      <c r="E50" s="5" t="inlineStr">
        <is>
          <t>Supports</t>
        </is>
      </c>
      <c r="F50" s="5" t="n"/>
      <c r="G50" s="5" t="inlineStr">
        <is>
          <t>DEMOCRATIC FUTURE PAC</t>
        </is>
      </c>
      <c r="H50" s="5" t="n"/>
      <c r="I50" s="5" t="n"/>
      <c r="J50" s="5" t="n"/>
      <c r="K50" s="33" t="n">
        <v>2600</v>
      </c>
      <c r="L50" s="34" t="n">
        <v>2</v>
      </c>
      <c r="M50" s="5" t="n"/>
    </row>
    <row r="51">
      <c r="A51" s="5" t="inlineStr">
        <is>
          <t>outside_by_committee</t>
        </is>
      </c>
      <c r="B51" s="5" t="n">
        <v>2026</v>
      </c>
      <c r="C51" s="5" t="inlineStr">
        <is>
          <t>Ryan Mackenzie</t>
        </is>
      </c>
      <c r="D51" s="5" t="n"/>
      <c r="E51" s="5" t="inlineStr">
        <is>
          <t>Opposes</t>
        </is>
      </c>
      <c r="F51" s="5" t="n"/>
      <c r="G51" s="5" t="inlineStr">
        <is>
          <t>INDIGO PAC</t>
        </is>
      </c>
      <c r="H51" s="5" t="n"/>
      <c r="I51" s="5" t="n"/>
      <c r="J51" s="5" t="n"/>
      <c r="K51" s="33" t="n">
        <v>1835.77</v>
      </c>
      <c r="L51" s="34" t="n">
        <v>10</v>
      </c>
      <c r="M51" s="5" t="n"/>
    </row>
    <row r="52">
      <c r="A52" s="5" t="inlineStr">
        <is>
          <t>outside_by_committee</t>
        </is>
      </c>
      <c r="B52" s="5" t="n">
        <v>2026</v>
      </c>
      <c r="C52" s="5" t="inlineStr">
        <is>
          <t>Ryan Mackenzie</t>
        </is>
      </c>
      <c r="D52" s="5" t="n"/>
      <c r="E52" s="5" t="inlineStr">
        <is>
          <t>Opposes</t>
        </is>
      </c>
      <c r="F52" s="5" t="n"/>
      <c r="G52" s="5" t="inlineStr">
        <is>
          <t>ACTIVATE AMERICA</t>
        </is>
      </c>
      <c r="H52" s="5" t="n"/>
      <c r="I52" s="5" t="n"/>
      <c r="J52" s="5" t="n"/>
      <c r="K52" s="33" t="n">
        <v>1702.29</v>
      </c>
      <c r="L52" s="34" t="n">
        <v>4</v>
      </c>
      <c r="M52" s="5" t="n"/>
    </row>
    <row r="53">
      <c r="A53" s="5" t="inlineStr">
        <is>
          <t>outside_by_committee</t>
        </is>
      </c>
      <c r="B53" s="5" t="n">
        <v>2026</v>
      </c>
      <c r="C53" s="5" t="inlineStr">
        <is>
          <t>Ryan Mackenzie</t>
        </is>
      </c>
      <c r="D53" s="5" t="n"/>
      <c r="E53" s="5" t="inlineStr">
        <is>
          <t>Opposes</t>
        </is>
      </c>
      <c r="F53" s="5" t="n"/>
      <c r="G53" s="5" t="inlineStr">
        <is>
          <t>RURAL FREEDOM NETWORK</t>
        </is>
      </c>
      <c r="H53" s="5" t="n"/>
      <c r="I53" s="5" t="n"/>
      <c r="J53" s="5" t="n"/>
      <c r="K53" s="33" t="n">
        <v>1517.06</v>
      </c>
      <c r="L53" s="34" t="n">
        <v>1</v>
      </c>
      <c r="M53" s="5" t="n"/>
    </row>
    <row r="54">
      <c r="A54" s="5" t="inlineStr">
        <is>
          <t>outside_by_committee</t>
        </is>
      </c>
      <c r="B54" s="5" t="n">
        <v>2026</v>
      </c>
      <c r="C54" s="5" t="inlineStr">
        <is>
          <t>Bob Brooks</t>
        </is>
      </c>
      <c r="D54" s="5" t="n"/>
      <c r="E54" s="5" t="inlineStr">
        <is>
          <t>Supports</t>
        </is>
      </c>
      <c r="F54" s="5" t="n"/>
      <c r="G54" s="5" t="inlineStr">
        <is>
          <t>FIELD TEAM 6, INC.</t>
        </is>
      </c>
      <c r="H54" s="5" t="n"/>
      <c r="I54" s="5" t="n"/>
      <c r="J54" s="5" t="n"/>
      <c r="K54" s="33" t="n">
        <v>1299.08</v>
      </c>
      <c r="L54" s="34" t="n">
        <v>6</v>
      </c>
      <c r="M54" s="5" t="n"/>
    </row>
    <row r="55">
      <c r="A55" s="5" t="inlineStr">
        <is>
          <t>outside_by_committee</t>
        </is>
      </c>
      <c r="B55" s="5" t="n">
        <v>2026</v>
      </c>
      <c r="C55" s="5" t="inlineStr">
        <is>
          <t>Ryan Mackenzie</t>
        </is>
      </c>
      <c r="D55" s="5" t="n"/>
      <c r="E55" s="5" t="inlineStr">
        <is>
          <t>Opposes</t>
        </is>
      </c>
      <c r="F55" s="5" t="n"/>
      <c r="G55" s="5" t="inlineStr">
        <is>
          <t>FIELD TEAM 6, INC.</t>
        </is>
      </c>
      <c r="H55" s="5" t="n"/>
      <c r="I55" s="5" t="n"/>
      <c r="J55" s="5" t="n"/>
      <c r="K55" s="33" t="n">
        <v>1096.69</v>
      </c>
      <c r="L55" s="34" t="n">
        <v>2</v>
      </c>
      <c r="M55" s="5" t="n"/>
    </row>
    <row r="56">
      <c r="A56" s="5" t="inlineStr">
        <is>
          <t>outside_by_committee</t>
        </is>
      </c>
      <c r="B56" s="5" t="n">
        <v>2026</v>
      </c>
      <c r="C56" s="5" t="inlineStr">
        <is>
          <t>Bob Brooks</t>
        </is>
      </c>
      <c r="D56" s="5" t="n"/>
      <c r="E56" s="5" t="inlineStr">
        <is>
          <t>Supports</t>
        </is>
      </c>
      <c r="F56" s="5" t="n"/>
      <c r="G56" s="5" t="inlineStr">
        <is>
          <t>BLUE DEMOCRACY NETWORK</t>
        </is>
      </c>
      <c r="H56" s="5" t="n"/>
      <c r="I56" s="5" t="n"/>
      <c r="J56" s="5" t="n"/>
      <c r="K56" s="33" t="n">
        <v>1075</v>
      </c>
      <c r="L56" s="34" t="n">
        <v>2</v>
      </c>
      <c r="M56" s="5" t="n"/>
    </row>
    <row r="57">
      <c r="A57" s="5" t="inlineStr">
        <is>
          <t>outside_by_committee</t>
        </is>
      </c>
      <c r="B57" s="5" t="n">
        <v>2026</v>
      </c>
      <c r="C57" s="5" t="inlineStr">
        <is>
          <t>Bob Brooks</t>
        </is>
      </c>
      <c r="D57" s="5" t="n"/>
      <c r="E57" s="5" t="inlineStr">
        <is>
          <t>Supports</t>
        </is>
      </c>
      <c r="F57" s="5" t="n"/>
      <c r="G57" s="5" t="inlineStr">
        <is>
          <t>BLUE MAJORITY MAKERS PAC</t>
        </is>
      </c>
      <c r="H57" s="5" t="n"/>
      <c r="I57" s="5" t="n"/>
      <c r="J57" s="5" t="n"/>
      <c r="K57" s="33" t="n">
        <v>766.66</v>
      </c>
      <c r="L57" s="34" t="n">
        <v>2</v>
      </c>
      <c r="M57" s="5" t="n"/>
    </row>
    <row r="58">
      <c r="A58" s="5" t="inlineStr">
        <is>
          <t>outside_by_committee</t>
        </is>
      </c>
      <c r="B58" s="5" t="n">
        <v>2026</v>
      </c>
      <c r="C58" s="5" t="inlineStr">
        <is>
          <t>Bob Brooks</t>
        </is>
      </c>
      <c r="D58" s="5" t="n"/>
      <c r="E58" s="5" t="inlineStr">
        <is>
          <t>Supports</t>
        </is>
      </c>
      <c r="F58" s="5" t="n"/>
      <c r="G58" s="5" t="inlineStr">
        <is>
          <t>PEOPLE'S ACTION POWER</t>
        </is>
      </c>
      <c r="H58" s="5" t="n"/>
      <c r="I58" s="5" t="n"/>
      <c r="J58" s="5" t="n"/>
      <c r="K58" s="33" t="n">
        <v>530.05</v>
      </c>
      <c r="L58" s="34" t="n">
        <v>1</v>
      </c>
      <c r="M58" s="5" t="n"/>
    </row>
    <row r="59">
      <c r="A59" s="5" t="inlineStr">
        <is>
          <t>outside_by_committee</t>
        </is>
      </c>
      <c r="B59" s="5" t="n">
        <v>2026</v>
      </c>
      <c r="C59" s="5" t="inlineStr">
        <is>
          <t>Ryan Mackenzie</t>
        </is>
      </c>
      <c r="D59" s="5" t="n"/>
      <c r="E59" s="5" t="inlineStr">
        <is>
          <t>Opposes</t>
        </is>
      </c>
      <c r="F59" s="5" t="n"/>
      <c r="G59" s="5" t="inlineStr">
        <is>
          <t>PLANNED PARENTHOOD VOTES</t>
        </is>
      </c>
      <c r="H59" s="5" t="n"/>
      <c r="I59" s="5" t="n"/>
      <c r="J59" s="5" t="n"/>
      <c r="K59" s="33" t="n">
        <v>197.19</v>
      </c>
      <c r="L59" s="34" t="n">
        <v>3</v>
      </c>
      <c r="M59" s="5" t="n"/>
    </row>
    <row r="60">
      <c r="A60" s="5" t="inlineStr">
        <is>
          <t>outside_by_committee</t>
        </is>
      </c>
      <c r="B60" s="5" t="n">
        <v>2026</v>
      </c>
      <c r="C60" s="5" t="inlineStr">
        <is>
          <t>Bob Brooks</t>
        </is>
      </c>
      <c r="D60" s="5" t="n"/>
      <c r="E60" s="5" t="inlineStr">
        <is>
          <t>Supports</t>
        </is>
      </c>
      <c r="F60" s="5" t="n"/>
      <c r="G60" s="5" t="inlineStr">
        <is>
          <t>SURJ PAC</t>
        </is>
      </c>
      <c r="H60" s="5" t="n"/>
      <c r="I60" s="5" t="n"/>
      <c r="J60" s="5" t="n"/>
      <c r="K60" s="33" t="n">
        <v>187.51</v>
      </c>
      <c r="L60" s="34" t="n">
        <v>1</v>
      </c>
      <c r="M60" s="5" t="n"/>
    </row>
    <row r="61">
      <c r="A61" s="5" t="inlineStr">
        <is>
          <t>outside_by_committee</t>
        </is>
      </c>
      <c r="B61" s="5" t="n">
        <v>2026</v>
      </c>
      <c r="C61" s="5" t="inlineStr">
        <is>
          <t>Bob Brooks</t>
        </is>
      </c>
      <c r="D61" s="5" t="n"/>
      <c r="E61" s="5" t="inlineStr">
        <is>
          <t>Supports</t>
        </is>
      </c>
      <c r="F61" s="5" t="n"/>
      <c r="G61" s="5" t="inlineStr">
        <is>
          <t>THE PEOPLE UNITED PAC</t>
        </is>
      </c>
      <c r="H61" s="5" t="n"/>
      <c r="I61" s="5" t="n"/>
      <c r="J61" s="5" t="n"/>
      <c r="K61" s="33" t="n">
        <v>50</v>
      </c>
      <c r="L61" s="34" t="n">
        <v>1</v>
      </c>
      <c r="M61" s="5" t="n"/>
    </row>
    <row r="62">
      <c r="A62" s="5" t="inlineStr">
        <is>
          <t>outside_by_committee</t>
        </is>
      </c>
      <c r="B62" s="5" t="n">
        <v>2026</v>
      </c>
      <c r="C62" s="5" t="inlineStr">
        <is>
          <t>Bob Brooks</t>
        </is>
      </c>
      <c r="D62" s="5" t="n"/>
      <c r="E62" s="5" t="inlineStr">
        <is>
          <t>Supports</t>
        </is>
      </c>
      <c r="F62" s="5" t="n"/>
      <c r="G62" s="5" t="inlineStr">
        <is>
          <t>GIVEGREEN UNITED ACTION</t>
        </is>
      </c>
      <c r="H62" s="5" t="n"/>
      <c r="I62" s="5" t="n"/>
      <c r="J62" s="5" t="n"/>
      <c r="K62" s="33" t="n">
        <v>36.54</v>
      </c>
      <c r="L62" s="34" t="n">
        <v>2</v>
      </c>
      <c r="M62" s="5" t="n"/>
    </row>
    <row r="63">
      <c r="A63" s="5" t="inlineStr">
        <is>
          <t>outside_by_committee</t>
        </is>
      </c>
      <c r="B63" s="5" t="n">
        <v>2026</v>
      </c>
      <c r="C63" s="5" t="inlineStr">
        <is>
          <t>Bob Brooks</t>
        </is>
      </c>
      <c r="D63" s="5" t="n"/>
      <c r="E63" s="5" t="inlineStr">
        <is>
          <t>Opposes</t>
        </is>
      </c>
      <c r="F63" s="5" t="n"/>
      <c r="G63" s="5" t="inlineStr">
        <is>
          <t>PENNSYLVANIA PRO-LIFE FEDERATION PAC</t>
        </is>
      </c>
      <c r="H63" s="5" t="n"/>
      <c r="I63" s="5" t="n"/>
      <c r="J63" s="5" t="n"/>
      <c r="K63" s="33" t="n">
        <v>22.94</v>
      </c>
      <c r="L63" s="34" t="n">
        <v>1</v>
      </c>
      <c r="M63" s="5" t="n"/>
    </row>
    <row r="64">
      <c r="A64" s="5" t="inlineStr">
        <is>
          <t>outside_by_committee</t>
        </is>
      </c>
      <c r="B64" s="5" t="n">
        <v>2026</v>
      </c>
      <c r="C64" s="5" t="inlineStr">
        <is>
          <t>Ryan Mackenzie</t>
        </is>
      </c>
      <c r="D64" s="5" t="n"/>
      <c r="E64" s="5" t="inlineStr">
        <is>
          <t>Supports</t>
        </is>
      </c>
      <c r="F64" s="5" t="n"/>
      <c r="G64" s="5" t="inlineStr">
        <is>
          <t>PENNSYLVANIA PRO-LIFE FEDERATION PAC</t>
        </is>
      </c>
      <c r="H64" s="5" t="n"/>
      <c r="I64" s="5" t="n"/>
      <c r="J64" s="5" t="n"/>
      <c r="K64" s="33" t="n">
        <v>22.94</v>
      </c>
      <c r="L64" s="34" t="n">
        <v>1</v>
      </c>
      <c r="M64" s="5" t="n"/>
    </row>
    <row r="65">
      <c r="A65" s="5" t="inlineStr">
        <is>
          <t>outside_itemized</t>
        </is>
      </c>
      <c r="B65" s="5" t="n">
        <v>2026</v>
      </c>
      <c r="C65" s="5" t="inlineStr">
        <is>
          <t>Bob Brooks</t>
        </is>
      </c>
      <c r="D65" s="5" t="n"/>
      <c r="E65" s="5" t="inlineStr">
        <is>
          <t>Supports</t>
        </is>
      </c>
      <c r="F65" s="5" t="inlineStr">
        <is>
          <t>Television and media buys</t>
        </is>
      </c>
      <c r="G65" s="5" t="inlineStr">
        <is>
          <t>STRONGER TOGETHER PA</t>
        </is>
      </c>
      <c r="H65" s="5" t="inlineStr">
        <is>
          <t>AD BUY</t>
        </is>
      </c>
      <c r="I65" s="5" t="inlineStr">
        <is>
          <t>PHILADELPHIA</t>
        </is>
      </c>
      <c r="J65" s="5" t="inlineStr">
        <is>
          <t>PA</t>
        </is>
      </c>
      <c r="K65" s="33" t="n">
        <v>306418</v>
      </c>
      <c r="L65" s="34" t="n"/>
      <c r="M65" s="5" t="inlineStr">
        <is>
          <t>2026-05-05</t>
        </is>
      </c>
    </row>
    <row r="66">
      <c r="A66" s="5" t="inlineStr">
        <is>
          <t>outside_itemized</t>
        </is>
      </c>
      <c r="B66" s="5" t="n">
        <v>2026</v>
      </c>
      <c r="C66" s="5" t="inlineStr">
        <is>
          <t>Bob Brooks</t>
        </is>
      </c>
      <c r="D66" s="5" t="n"/>
      <c r="E66" s="5" t="inlineStr">
        <is>
          <t>Supports</t>
        </is>
      </c>
      <c r="F66" s="5" t="inlineStr">
        <is>
          <t>Television and media buys</t>
        </is>
      </c>
      <c r="G66" s="5" t="inlineStr">
        <is>
          <t>STRONGER TOGETHER PA</t>
        </is>
      </c>
      <c r="H66" s="5" t="inlineStr">
        <is>
          <t>AD BUY</t>
        </is>
      </c>
      <c r="I66" s="5" t="inlineStr">
        <is>
          <t>PHILADELPHIA</t>
        </is>
      </c>
      <c r="J66" s="5" t="inlineStr">
        <is>
          <t>PA</t>
        </is>
      </c>
      <c r="K66" s="33" t="n">
        <v>272247</v>
      </c>
      <c r="L66" s="34" t="n"/>
      <c r="M66" s="5" t="inlineStr">
        <is>
          <t>2026-04-01</t>
        </is>
      </c>
    </row>
    <row r="67">
      <c r="A67" s="5" t="inlineStr">
        <is>
          <t>outside_itemized</t>
        </is>
      </c>
      <c r="B67" s="5" t="n">
        <v>2026</v>
      </c>
      <c r="C67" s="5" t="inlineStr">
        <is>
          <t>Bob Brooks</t>
        </is>
      </c>
      <c r="D67" s="5" t="n"/>
      <c r="E67" s="5" t="inlineStr">
        <is>
          <t>Supports</t>
        </is>
      </c>
      <c r="F67" s="5" t="inlineStr">
        <is>
          <t>Digital advertising</t>
        </is>
      </c>
      <c r="G67" s="5" t="inlineStr">
        <is>
          <t>JOBS AND DEMOCRACY PAC</t>
        </is>
      </c>
      <c r="H67" s="5" t="inlineStr">
        <is>
          <t>DIGITAL BUY</t>
        </is>
      </c>
      <c r="I67" s="5" t="inlineStr">
        <is>
          <t>SANTA BARBARA</t>
        </is>
      </c>
      <c r="J67" s="5" t="inlineStr">
        <is>
          <t>CA</t>
        </is>
      </c>
      <c r="K67" s="33" t="n">
        <v>249750</v>
      </c>
      <c r="L67" s="34" t="n"/>
      <c r="M67" s="5" t="inlineStr">
        <is>
          <t>2026-05-15</t>
        </is>
      </c>
    </row>
    <row r="68">
      <c r="A68" s="5" t="inlineStr">
        <is>
          <t>outside_itemized</t>
        </is>
      </c>
      <c r="B68" s="5" t="n">
        <v>2026</v>
      </c>
      <c r="C68" s="5" t="inlineStr">
        <is>
          <t>Bob Brooks</t>
        </is>
      </c>
      <c r="D68" s="5" t="n"/>
      <c r="E68" s="5" t="inlineStr">
        <is>
          <t>Supports</t>
        </is>
      </c>
      <c r="F68" s="5" t="inlineStr">
        <is>
          <t>Television and media buys</t>
        </is>
      </c>
      <c r="G68" s="5" t="inlineStr">
        <is>
          <t>STRONGER TOGETHER PA</t>
        </is>
      </c>
      <c r="H68" s="5" t="inlineStr">
        <is>
          <t>AD BUY</t>
        </is>
      </c>
      <c r="I68" s="5" t="inlineStr">
        <is>
          <t>PHILADELPHIA</t>
        </is>
      </c>
      <c r="J68" s="5" t="inlineStr">
        <is>
          <t>PA</t>
        </is>
      </c>
      <c r="K68" s="33" t="n">
        <v>175000</v>
      </c>
      <c r="L68" s="34" t="n"/>
      <c r="M68" s="5" t="inlineStr">
        <is>
          <t>2026-05-13</t>
        </is>
      </c>
    </row>
    <row r="69">
      <c r="A69" s="5" t="inlineStr">
        <is>
          <t>outside_itemized</t>
        </is>
      </c>
      <c r="B69" s="5" t="n">
        <v>2026</v>
      </c>
      <c r="C69" s="5" t="inlineStr">
        <is>
          <t>Bob Brooks</t>
        </is>
      </c>
      <c r="D69" s="5" t="n"/>
      <c r="E69" s="5" t="inlineStr">
        <is>
          <t>Supports</t>
        </is>
      </c>
      <c r="F69" s="5" t="inlineStr">
        <is>
          <t>Television and media buys</t>
        </is>
      </c>
      <c r="G69" s="5" t="inlineStr">
        <is>
          <t>STRONGER TOGETHER PA</t>
        </is>
      </c>
      <c r="H69" s="5" t="inlineStr">
        <is>
          <t>AD BUY</t>
        </is>
      </c>
      <c r="I69" s="5" t="inlineStr">
        <is>
          <t>PHILADELPHIA</t>
        </is>
      </c>
      <c r="J69" s="5" t="inlineStr">
        <is>
          <t>PA</t>
        </is>
      </c>
      <c r="K69" s="33" t="n">
        <v>154509</v>
      </c>
      <c r="L69" s="34" t="n"/>
      <c r="M69" s="5" t="inlineStr">
        <is>
          <t>2026-04-23</t>
        </is>
      </c>
    </row>
    <row r="70">
      <c r="A70" s="5" t="inlineStr">
        <is>
          <t>outside_itemized</t>
        </is>
      </c>
      <c r="B70" s="5" t="n">
        <v>2026</v>
      </c>
      <c r="C70" s="5" t="inlineStr">
        <is>
          <t>Bob Brooks</t>
        </is>
      </c>
      <c r="D70" s="5" t="n"/>
      <c r="E70" s="5" t="inlineStr">
        <is>
          <t>Supports</t>
        </is>
      </c>
      <c r="F70" s="5" t="inlineStr">
        <is>
          <t>Television and media buys</t>
        </is>
      </c>
      <c r="G70" s="5" t="inlineStr">
        <is>
          <t>STRONGER TOGETHER PA</t>
        </is>
      </c>
      <c r="H70" s="5" t="inlineStr">
        <is>
          <t>AD BUY</t>
        </is>
      </c>
      <c r="I70" s="5" t="inlineStr">
        <is>
          <t>PHILADELPHIA</t>
        </is>
      </c>
      <c r="J70" s="5" t="inlineStr">
        <is>
          <t>PA</t>
        </is>
      </c>
      <c r="K70" s="33" t="n">
        <v>150000</v>
      </c>
      <c r="L70" s="34" t="n"/>
      <c r="M70" s="5" t="inlineStr">
        <is>
          <t>2026-05-15</t>
        </is>
      </c>
    </row>
    <row r="71">
      <c r="A71" s="5" t="inlineStr">
        <is>
          <t>outside_itemized</t>
        </is>
      </c>
      <c r="B71" s="5" t="n">
        <v>2026</v>
      </c>
      <c r="C71" s="5" t="inlineStr">
        <is>
          <t>Ryan Mackenzie</t>
        </is>
      </c>
      <c r="D71" s="5" t="n"/>
      <c r="E71" s="5" t="inlineStr">
        <is>
          <t>Opposes</t>
        </is>
      </c>
      <c r="F71" s="5" t="inlineStr">
        <is>
          <t>Digital advertising</t>
        </is>
      </c>
      <c r="G71" s="5" t="inlineStr">
        <is>
          <t>HMP</t>
        </is>
      </c>
      <c r="H71" s="5" t="inlineStr">
        <is>
          <t>DIGITAL ADVERTISING</t>
        </is>
      </c>
      <c r="I71" s="5" t="inlineStr">
        <is>
          <t>WASHINGTON</t>
        </is>
      </c>
      <c r="J71" s="5" t="inlineStr">
        <is>
          <t>DC</t>
        </is>
      </c>
      <c r="K71" s="33" t="n">
        <v>130875</v>
      </c>
      <c r="L71" s="34" t="n"/>
      <c r="M71" s="5" t="inlineStr">
        <is>
          <t>2026-09-25</t>
        </is>
      </c>
    </row>
    <row r="72">
      <c r="A72" s="5" t="inlineStr">
        <is>
          <t>outside_itemized</t>
        </is>
      </c>
      <c r="B72" s="5" t="n">
        <v>2026</v>
      </c>
      <c r="C72" s="5" t="inlineStr">
        <is>
          <t>Ryan Mackenzie</t>
        </is>
      </c>
      <c r="D72" s="5" t="n"/>
      <c r="E72" s="5" t="inlineStr">
        <is>
          <t>Opposes</t>
        </is>
      </c>
      <c r="F72" s="5" t="inlineStr">
        <is>
          <t>Digital advertising</t>
        </is>
      </c>
      <c r="G72" s="5" t="inlineStr">
        <is>
          <t>HMP</t>
        </is>
      </c>
      <c r="H72" s="5" t="inlineStr">
        <is>
          <t>DIGITAL ADVERTISING</t>
        </is>
      </c>
      <c r="I72" s="5" t="inlineStr">
        <is>
          <t>WASHINGTON</t>
        </is>
      </c>
      <c r="J72" s="5" t="inlineStr">
        <is>
          <t>DC</t>
        </is>
      </c>
      <c r="K72" s="33" t="n">
        <v>130875</v>
      </c>
      <c r="L72" s="34" t="n"/>
      <c r="M72" s="5" t="inlineStr">
        <is>
          <t>2026-09-23</t>
        </is>
      </c>
    </row>
    <row r="73">
      <c r="A73" s="5" t="inlineStr">
        <is>
          <t>outside_itemized</t>
        </is>
      </c>
      <c r="B73" s="5" t="n">
        <v>2026</v>
      </c>
      <c r="C73" s="5" t="inlineStr">
        <is>
          <t>Bob Brooks</t>
        </is>
      </c>
      <c r="D73" s="5" t="n"/>
      <c r="E73" s="5" t="inlineStr">
        <is>
          <t>Supports</t>
        </is>
      </c>
      <c r="F73" s="5" t="inlineStr">
        <is>
          <t>Digital advertising</t>
        </is>
      </c>
      <c r="G73" s="5" t="inlineStr">
        <is>
          <t>CONGRESSIONAL PROGRESSIVE CAUCUS PAC</t>
        </is>
      </c>
      <c r="H73" s="5" t="inlineStr">
        <is>
          <t>DIGITAL AD BUY - ESTIMATE</t>
        </is>
      </c>
      <c r="I73" s="5" t="inlineStr">
        <is>
          <t>BERKELEY</t>
        </is>
      </c>
      <c r="J73" s="5" t="inlineStr">
        <is>
          <t>CA</t>
        </is>
      </c>
      <c r="K73" s="33" t="n">
        <v>128000</v>
      </c>
      <c r="L73" s="34" t="n"/>
      <c r="M73" s="5" t="inlineStr">
        <is>
          <t>2026-04-24</t>
        </is>
      </c>
    </row>
    <row r="74">
      <c r="A74" s="5" t="inlineStr">
        <is>
          <t>outside_itemized</t>
        </is>
      </c>
      <c r="B74" s="5" t="n">
        <v>2026</v>
      </c>
      <c r="C74" s="5" t="inlineStr">
        <is>
          <t>Ryan Mackenzie</t>
        </is>
      </c>
      <c r="D74" s="5" t="n"/>
      <c r="E74" s="5" t="inlineStr">
        <is>
          <t>Opposes</t>
        </is>
      </c>
      <c r="F74" s="5" t="inlineStr">
        <is>
          <t>Digital advertising</t>
        </is>
      </c>
      <c r="G74" s="5" t="inlineStr">
        <is>
          <t>HMP</t>
        </is>
      </c>
      <c r="H74" s="5" t="inlineStr">
        <is>
          <t>DIGITAL ADVERTISING</t>
        </is>
      </c>
      <c r="I74" s="5" t="inlineStr">
        <is>
          <t>WASHINGTON</t>
        </is>
      </c>
      <c r="J74" s="5" t="inlineStr">
        <is>
          <t>DC</t>
        </is>
      </c>
      <c r="K74" s="33" t="n">
        <v>117732.94</v>
      </c>
      <c r="L74" s="34" t="n"/>
      <c r="M74" s="5" t="inlineStr">
        <is>
          <t>2026-09-14</t>
        </is>
      </c>
    </row>
    <row r="75">
      <c r="A75" s="5" t="inlineStr">
        <is>
          <t>outside_itemized</t>
        </is>
      </c>
      <c r="B75" s="5" t="n">
        <v>2026</v>
      </c>
      <c r="C75" s="5" t="inlineStr">
        <is>
          <t>Bob Brooks</t>
        </is>
      </c>
      <c r="D75" s="5" t="n"/>
      <c r="E75" s="5" t="inlineStr">
        <is>
          <t>Supports</t>
        </is>
      </c>
      <c r="F75" s="5" t="inlineStr">
        <is>
          <t>Television and media buys</t>
        </is>
      </c>
      <c r="G75" s="5" t="inlineStr">
        <is>
          <t>STRONGER TOGETHER PA</t>
        </is>
      </c>
      <c r="H75" s="5" t="inlineStr">
        <is>
          <t>AD BUY</t>
        </is>
      </c>
      <c r="I75" s="5" t="inlineStr">
        <is>
          <t>PHILADELPHIA</t>
        </is>
      </c>
      <c r="J75" s="5" t="inlineStr">
        <is>
          <t>PA</t>
        </is>
      </c>
      <c r="K75" s="33" t="n">
        <v>110000</v>
      </c>
      <c r="L75" s="34" t="n"/>
      <c r="M75" s="5" t="inlineStr">
        <is>
          <t>2026-05-15</t>
        </is>
      </c>
    </row>
    <row r="76">
      <c r="A76" s="5" t="inlineStr">
        <is>
          <t>outside_itemized</t>
        </is>
      </c>
      <c r="B76" s="5" t="n">
        <v>2026</v>
      </c>
      <c r="C76" s="5" t="inlineStr">
        <is>
          <t>Bob Brooks</t>
        </is>
      </c>
      <c r="D76" s="5" t="n"/>
      <c r="E76" s="5" t="inlineStr">
        <is>
          <t>Opposes</t>
        </is>
      </c>
      <c r="F76" s="5" t="inlineStr">
        <is>
          <t>Television and media buys</t>
        </is>
      </c>
      <c r="G76" s="5" t="inlineStr">
        <is>
          <t>LEAD LEFT PAC</t>
        </is>
      </c>
      <c r="H76" s="5" t="inlineStr">
        <is>
          <t>MEDIA PLACEMENT / MEDIA PRODUCTION</t>
        </is>
      </c>
      <c r="I76" s="5" t="inlineStr">
        <is>
          <t>RICHMOND</t>
        </is>
      </c>
      <c r="J76" s="5" t="inlineStr">
        <is>
          <t>VA</t>
        </is>
      </c>
      <c r="K76" s="33" t="n">
        <v>106756.66</v>
      </c>
      <c r="L76" s="34" t="n"/>
      <c r="M76" s="5" t="inlineStr">
        <is>
          <t>2026-05-05</t>
        </is>
      </c>
    </row>
    <row r="77">
      <c r="A77" s="5" t="inlineStr">
        <is>
          <t>outside_itemized</t>
        </is>
      </c>
      <c r="B77" s="5" t="n">
        <v>2026</v>
      </c>
      <c r="C77" s="5" t="inlineStr">
        <is>
          <t>Bob Brooks</t>
        </is>
      </c>
      <c r="D77" s="5" t="n"/>
      <c r="E77" s="5" t="inlineStr">
        <is>
          <t>Opposes</t>
        </is>
      </c>
      <c r="F77" s="5" t="inlineStr">
        <is>
          <t>Television and media buys</t>
        </is>
      </c>
      <c r="G77" s="5" t="inlineStr">
        <is>
          <t>LEAD LEFT PAC</t>
        </is>
      </c>
      <c r="H77" s="5" t="inlineStr">
        <is>
          <t>MEDIA PLACEMENT</t>
        </is>
      </c>
      <c r="I77" s="5" t="inlineStr">
        <is>
          <t>RICHMOND</t>
        </is>
      </c>
      <c r="J77" s="5" t="inlineStr">
        <is>
          <t>VA</t>
        </is>
      </c>
      <c r="K77" s="33" t="n">
        <v>102333.33</v>
      </c>
      <c r="L77" s="34" t="n"/>
      <c r="M77" s="5" t="inlineStr">
        <is>
          <t>2026-05-06</t>
        </is>
      </c>
    </row>
    <row r="78">
      <c r="A78" s="5" t="inlineStr">
        <is>
          <t>outside_itemized</t>
        </is>
      </c>
      <c r="B78" s="5" t="n">
        <v>2026</v>
      </c>
      <c r="C78" s="5" t="inlineStr">
        <is>
          <t>Bob Brooks</t>
        </is>
      </c>
      <c r="D78" s="5" t="n"/>
      <c r="E78" s="5" t="inlineStr">
        <is>
          <t>Supports</t>
        </is>
      </c>
      <c r="F78" s="5" t="inlineStr">
        <is>
          <t>Digital advertising</t>
        </is>
      </c>
      <c r="G78" s="5" t="inlineStr">
        <is>
          <t>MEDICARE FOR ALL</t>
        </is>
      </c>
      <c r="H78" s="5" t="inlineStr">
        <is>
          <t>DIGITAL ADVERTISING BUY</t>
        </is>
      </c>
      <c r="I78" s="5" t="inlineStr">
        <is>
          <t>BERKELEY</t>
        </is>
      </c>
      <c r="J78" s="5" t="inlineStr">
        <is>
          <t>CA</t>
        </is>
      </c>
      <c r="K78" s="33" t="n">
        <v>95000</v>
      </c>
      <c r="L78" s="34" t="n"/>
      <c r="M78" s="5" t="inlineStr">
        <is>
          <t>2026-05-12</t>
        </is>
      </c>
    </row>
    <row r="79">
      <c r="A79" s="5" t="inlineStr">
        <is>
          <t>outside_itemized</t>
        </is>
      </c>
      <c r="B79" s="5" t="n">
        <v>2026</v>
      </c>
      <c r="C79" s="5" t="inlineStr">
        <is>
          <t>Bob Brooks</t>
        </is>
      </c>
      <c r="D79" s="5" t="n"/>
      <c r="E79" s="5" t="inlineStr">
        <is>
          <t>Supports</t>
        </is>
      </c>
      <c r="F79" s="5" t="inlineStr">
        <is>
          <t>Television and media buys</t>
        </is>
      </c>
      <c r="G79" s="5" t="inlineStr">
        <is>
          <t>STRONGER TOGETHER PA</t>
        </is>
      </c>
      <c r="H79" s="5" t="inlineStr">
        <is>
          <t>AD BUY</t>
        </is>
      </c>
      <c r="I79" s="5" t="inlineStr">
        <is>
          <t>PHILADELPHIA</t>
        </is>
      </c>
      <c r="J79" s="5" t="inlineStr">
        <is>
          <t>PA</t>
        </is>
      </c>
      <c r="K79" s="33" t="n">
        <v>90000</v>
      </c>
      <c r="L79" s="34" t="n"/>
      <c r="M79" s="5" t="inlineStr">
        <is>
          <t>2026-05-15</t>
        </is>
      </c>
    </row>
    <row r="80">
      <c r="A80" s="5" t="inlineStr">
        <is>
          <t>outside_itemized</t>
        </is>
      </c>
      <c r="B80" s="5" t="n">
        <v>2026</v>
      </c>
      <c r="C80" s="5" t="inlineStr">
        <is>
          <t>Bob Brooks</t>
        </is>
      </c>
      <c r="D80" s="5" t="n"/>
      <c r="E80" s="5" t="inlineStr">
        <is>
          <t>Supports</t>
        </is>
      </c>
      <c r="F80" s="5" t="inlineStr">
        <is>
          <t>Television and media buys</t>
        </is>
      </c>
      <c r="G80" s="5" t="inlineStr">
        <is>
          <t>STRONGER TOGETHER PA</t>
        </is>
      </c>
      <c r="H80" s="5" t="inlineStr">
        <is>
          <t>AD BUY &amp; AD PRODUCTION</t>
        </is>
      </c>
      <c r="I80" s="5" t="inlineStr">
        <is>
          <t>PHILADELPHIA</t>
        </is>
      </c>
      <c r="J80" s="5" t="inlineStr">
        <is>
          <t>PA</t>
        </is>
      </c>
      <c r="K80" s="33" t="n">
        <v>83120</v>
      </c>
      <c r="L80" s="34" t="n"/>
      <c r="M80" s="5" t="inlineStr">
        <is>
          <t>2026-03-24</t>
        </is>
      </c>
    </row>
    <row r="81">
      <c r="A81" s="5" t="inlineStr">
        <is>
          <t>outside_itemized</t>
        </is>
      </c>
      <c r="B81" s="5" t="n">
        <v>2026</v>
      </c>
      <c r="C81" s="5" t="inlineStr">
        <is>
          <t>Bob Brooks</t>
        </is>
      </c>
      <c r="D81" s="5" t="n"/>
      <c r="E81" s="5" t="inlineStr">
        <is>
          <t>Supports</t>
        </is>
      </c>
      <c r="F81" s="5" t="inlineStr">
        <is>
          <t>Television and media buys</t>
        </is>
      </c>
      <c r="G81" s="5" t="inlineStr">
        <is>
          <t>STRONGER TOGETHER PA</t>
        </is>
      </c>
      <c r="H81" s="5" t="inlineStr">
        <is>
          <t>AD BUY</t>
        </is>
      </c>
      <c r="I81" s="5" t="inlineStr">
        <is>
          <t>PHILADELPHIA</t>
        </is>
      </c>
      <c r="J81" s="5" t="inlineStr">
        <is>
          <t>PA</t>
        </is>
      </c>
      <c r="K81" s="33" t="n">
        <v>80000</v>
      </c>
      <c r="L81" s="34" t="n"/>
      <c r="M81" s="5" t="inlineStr">
        <is>
          <t>2026-05-12</t>
        </is>
      </c>
    </row>
    <row r="82">
      <c r="A82" s="5" t="inlineStr">
        <is>
          <t>outside_itemized</t>
        </is>
      </c>
      <c r="B82" s="5" t="n">
        <v>2026</v>
      </c>
      <c r="C82" s="5" t="inlineStr">
        <is>
          <t>Bob Brooks</t>
        </is>
      </c>
      <c r="D82" s="5" t="n"/>
      <c r="E82" s="5" t="inlineStr">
        <is>
          <t>Opposes</t>
        </is>
      </c>
      <c r="F82" s="5" t="inlineStr">
        <is>
          <t>Television and media buys</t>
        </is>
      </c>
      <c r="G82" s="5" t="inlineStr">
        <is>
          <t>LEAD LEFT PAC</t>
        </is>
      </c>
      <c r="H82" s="5" t="inlineStr">
        <is>
          <t>MEDIA PLACEMENT / MEDIA PRODUCTION</t>
        </is>
      </c>
      <c r="I82" s="5" t="inlineStr">
        <is>
          <t>PENSACOLA</t>
        </is>
      </c>
      <c r="J82" s="5" t="inlineStr">
        <is>
          <t>FL</t>
        </is>
      </c>
      <c r="K82" s="33" t="n">
        <v>66666.67</v>
      </c>
      <c r="L82" s="34" t="n"/>
      <c r="M82" s="5" t="inlineStr">
        <is>
          <t>2026-05-06</t>
        </is>
      </c>
    </row>
    <row r="83">
      <c r="A83" s="5" t="inlineStr">
        <is>
          <t>outside_itemized</t>
        </is>
      </c>
      <c r="B83" s="5" t="n">
        <v>2026</v>
      </c>
      <c r="C83" s="5" t="inlineStr">
        <is>
          <t>Bob Brooks</t>
        </is>
      </c>
      <c r="D83" s="5" t="n"/>
      <c r="E83" s="5" t="inlineStr">
        <is>
          <t>Supports</t>
        </is>
      </c>
      <c r="F83" s="5" t="inlineStr">
        <is>
          <t>Television and media buys</t>
        </is>
      </c>
      <c r="G83" s="5" t="inlineStr">
        <is>
          <t>STRONGER TOGETHER PA</t>
        </is>
      </c>
      <c r="H83" s="5" t="inlineStr">
        <is>
          <t>AD BUY</t>
        </is>
      </c>
      <c r="I83" s="5" t="inlineStr">
        <is>
          <t>PHILADELPHIA</t>
        </is>
      </c>
      <c r="J83" s="5" t="inlineStr">
        <is>
          <t>PA</t>
        </is>
      </c>
      <c r="K83" s="33" t="n">
        <v>52120</v>
      </c>
      <c r="L83" s="34" t="n"/>
      <c r="M83" s="5" t="inlineStr">
        <is>
          <t>2026-03-27</t>
        </is>
      </c>
    </row>
    <row r="84">
      <c r="A84" s="5" t="inlineStr">
        <is>
          <t>outside_itemized</t>
        </is>
      </c>
      <c r="B84" s="5" t="n">
        <v>2026</v>
      </c>
      <c r="C84" s="5" t="inlineStr">
        <is>
          <t>Bob Brooks</t>
        </is>
      </c>
      <c r="D84" s="5" t="n"/>
      <c r="E84" s="5" t="inlineStr">
        <is>
          <t>Supports</t>
        </is>
      </c>
      <c r="F84" s="5" t="inlineStr">
        <is>
          <t>Television and media buys</t>
        </is>
      </c>
      <c r="G84" s="5" t="inlineStr">
        <is>
          <t>STRONGER TOGETHER PA</t>
        </is>
      </c>
      <c r="H84" s="5" t="inlineStr">
        <is>
          <t>AD BUY</t>
        </is>
      </c>
      <c r="I84" s="5" t="inlineStr">
        <is>
          <t>PHILADELPHIA</t>
        </is>
      </c>
      <c r="J84" s="5" t="inlineStr">
        <is>
          <t>PA</t>
        </is>
      </c>
      <c r="K84" s="33" t="n">
        <v>50500</v>
      </c>
      <c r="L84" s="34" t="n"/>
      <c r="M84" s="5" t="inlineStr">
        <is>
          <t>2026-05-07</t>
        </is>
      </c>
    </row>
    <row r="85">
      <c r="A85" s="5" t="inlineStr">
        <is>
          <t>outside_itemized</t>
        </is>
      </c>
      <c r="B85" s="5" t="n">
        <v>2026</v>
      </c>
      <c r="C85" s="5" t="inlineStr">
        <is>
          <t>Bob Brooks</t>
        </is>
      </c>
      <c r="D85" s="5" t="n"/>
      <c r="E85" s="5" t="inlineStr">
        <is>
          <t>Supports</t>
        </is>
      </c>
      <c r="F85" s="5" t="inlineStr">
        <is>
          <t>Television and media buys</t>
        </is>
      </c>
      <c r="G85" s="5" t="inlineStr">
        <is>
          <t>STRONGER TOGETHER PA</t>
        </is>
      </c>
      <c r="H85" s="5" t="inlineStr">
        <is>
          <t>AD BUY</t>
        </is>
      </c>
      <c r="I85" s="5" t="inlineStr">
        <is>
          <t>PHILADELPHIA</t>
        </is>
      </c>
      <c r="J85" s="5" t="inlineStr">
        <is>
          <t>PA</t>
        </is>
      </c>
      <c r="K85" s="33" t="n">
        <v>46000</v>
      </c>
      <c r="L85" s="34" t="n"/>
      <c r="M85" s="5" t="inlineStr">
        <is>
          <t>2026-04-16</t>
        </is>
      </c>
    </row>
    <row r="86">
      <c r="A86" s="5" t="inlineStr">
        <is>
          <t>outside_itemized</t>
        </is>
      </c>
      <c r="B86" s="5" t="n">
        <v>2026</v>
      </c>
      <c r="C86" s="5" t="inlineStr">
        <is>
          <t>Bob Brooks</t>
        </is>
      </c>
      <c r="D86" s="5" t="n"/>
      <c r="E86" s="5" t="inlineStr">
        <is>
          <t>Supports</t>
        </is>
      </c>
      <c r="F86" s="5" t="inlineStr">
        <is>
          <t>Television and media buys</t>
        </is>
      </c>
      <c r="G86" s="5" t="inlineStr">
        <is>
          <t>STRONGER TOGETHER PA</t>
        </is>
      </c>
      <c r="H86" s="5" t="inlineStr">
        <is>
          <t>AD BUY</t>
        </is>
      </c>
      <c r="I86" s="5" t="inlineStr">
        <is>
          <t>PHILADELPHIA</t>
        </is>
      </c>
      <c r="J86" s="5" t="inlineStr">
        <is>
          <t>PA</t>
        </is>
      </c>
      <c r="K86" s="33" t="n">
        <v>45110</v>
      </c>
      <c r="L86" s="34" t="n"/>
      <c r="M86" s="5" t="inlineStr">
        <is>
          <t>2026-03-30</t>
        </is>
      </c>
    </row>
    <row r="87">
      <c r="A87" s="5" t="inlineStr">
        <is>
          <t>outside_itemized</t>
        </is>
      </c>
      <c r="B87" s="5" t="n">
        <v>2026</v>
      </c>
      <c r="C87" s="5" t="inlineStr">
        <is>
          <t>Ryan Mackenzie</t>
        </is>
      </c>
      <c r="D87" s="5" t="n"/>
      <c r="E87" s="5" t="inlineStr">
        <is>
          <t>Opposes</t>
        </is>
      </c>
      <c r="F87" s="5" t="inlineStr">
        <is>
          <t>Mail and print</t>
        </is>
      </c>
      <c r="G87" s="5" t="inlineStr">
        <is>
          <t>HMP</t>
        </is>
      </c>
      <c r="H87" s="5" t="inlineStr">
        <is>
          <t>DIRECT MAIL</t>
        </is>
      </c>
      <c r="I87" s="5" t="inlineStr">
        <is>
          <t>GLASTONBURY</t>
        </is>
      </c>
      <c r="J87" s="5" t="inlineStr">
        <is>
          <t>CT</t>
        </is>
      </c>
      <c r="K87" s="33" t="n">
        <v>41304.46</v>
      </c>
      <c r="L87" s="34" t="n"/>
      <c r="M87" s="5" t="inlineStr">
        <is>
          <t>2026-09-10</t>
        </is>
      </c>
    </row>
    <row r="88">
      <c r="A88" s="5" t="inlineStr">
        <is>
          <t>outside_itemized</t>
        </is>
      </c>
      <c r="B88" s="5" t="n">
        <v>2026</v>
      </c>
      <c r="C88" s="5" t="inlineStr">
        <is>
          <t>Ryan Mackenzie</t>
        </is>
      </c>
      <c r="D88" s="5" t="n"/>
      <c r="E88" s="5" t="inlineStr">
        <is>
          <t>Opposes</t>
        </is>
      </c>
      <c r="F88" s="5" t="inlineStr">
        <is>
          <t>Production</t>
        </is>
      </c>
      <c r="G88" s="5" t="inlineStr">
        <is>
          <t>HMP</t>
        </is>
      </c>
      <c r="H88" s="5" t="inlineStr">
        <is>
          <t>MEDIA PRODUCTION</t>
        </is>
      </c>
      <c r="I88" s="5" t="inlineStr">
        <is>
          <t>WASHINGTON</t>
        </is>
      </c>
      <c r="J88" s="5" t="inlineStr">
        <is>
          <t>DC</t>
        </is>
      </c>
      <c r="K88" s="33" t="n">
        <v>36457.42</v>
      </c>
      <c r="L88" s="34" t="n"/>
      <c r="M88" s="5" t="inlineStr">
        <is>
          <t>2026-09-30</t>
        </is>
      </c>
    </row>
    <row r="89">
      <c r="A89" s="5" t="inlineStr">
        <is>
          <t>outside_itemized</t>
        </is>
      </c>
      <c r="B89" s="5" t="n">
        <v>2026</v>
      </c>
      <c r="C89" s="5" t="inlineStr">
        <is>
          <t>Bob Brooks</t>
        </is>
      </c>
      <c r="D89" s="5" t="n"/>
      <c r="E89" s="5" t="inlineStr">
        <is>
          <t>Supports</t>
        </is>
      </c>
      <c r="F89" s="5" t="inlineStr">
        <is>
          <t>Mail and print</t>
        </is>
      </c>
      <c r="G89" s="5" t="inlineStr">
        <is>
          <t>WORKING FAMILIES PARTY PAC</t>
        </is>
      </c>
      <c r="H89" s="5" t="inlineStr">
        <is>
          <t>DIRECT MAIL  FEC-1979274</t>
        </is>
      </c>
      <c r="I89" s="5" t="inlineStr">
        <is>
          <t>BROOKLYN</t>
        </is>
      </c>
      <c r="J89" s="5" t="inlineStr">
        <is>
          <t>NY</t>
        </is>
      </c>
      <c r="K89" s="33" t="n">
        <v>32824.6</v>
      </c>
      <c r="L89" s="34" t="n"/>
      <c r="M89" s="5" t="inlineStr">
        <is>
          <t>2026-08-10</t>
        </is>
      </c>
    </row>
    <row r="90">
      <c r="A90" s="5" t="inlineStr">
        <is>
          <t>outside_itemized</t>
        </is>
      </c>
      <c r="B90" s="5" t="n">
        <v>2026</v>
      </c>
      <c r="C90" s="5" t="inlineStr">
        <is>
          <t>Ryan Mackenzie</t>
        </is>
      </c>
      <c r="D90" s="5" t="n"/>
      <c r="E90" s="5" t="inlineStr">
        <is>
          <t>Opposes</t>
        </is>
      </c>
      <c r="F90" s="5" t="inlineStr">
        <is>
          <t>Mail and print</t>
        </is>
      </c>
      <c r="G90" s="5" t="inlineStr">
        <is>
          <t>HMP</t>
        </is>
      </c>
      <c r="H90" s="5" t="inlineStr">
        <is>
          <t>DIRECT MAIL</t>
        </is>
      </c>
      <c r="I90" s="5" t="inlineStr">
        <is>
          <t>GLASTONBURY</t>
        </is>
      </c>
      <c r="J90" s="5" t="inlineStr">
        <is>
          <t>CT</t>
        </is>
      </c>
      <c r="K90" s="33" t="n">
        <v>32626.32</v>
      </c>
      <c r="L90" s="34" t="n"/>
      <c r="M90" s="5" t="inlineStr">
        <is>
          <t>2026-09-24</t>
        </is>
      </c>
    </row>
    <row r="91">
      <c r="A91" s="5" t="inlineStr">
        <is>
          <t>outside_itemized</t>
        </is>
      </c>
      <c r="B91" s="5" t="n">
        <v>2026</v>
      </c>
      <c r="C91" s="5" t="inlineStr">
        <is>
          <t>Ryan Mackenzie</t>
        </is>
      </c>
      <c r="D91" s="5" t="n"/>
      <c r="E91" s="5" t="inlineStr">
        <is>
          <t>Opposes</t>
        </is>
      </c>
      <c r="F91" s="5" t="inlineStr">
        <is>
          <t>Mail and print</t>
        </is>
      </c>
      <c r="G91" s="5" t="inlineStr">
        <is>
          <t>HMP</t>
        </is>
      </c>
      <c r="H91" s="5" t="inlineStr">
        <is>
          <t>DIRECT MAIL</t>
        </is>
      </c>
      <c r="I91" s="5" t="inlineStr">
        <is>
          <t>GLASTONBURY</t>
        </is>
      </c>
      <c r="J91" s="5" t="inlineStr">
        <is>
          <t>CT</t>
        </is>
      </c>
      <c r="K91" s="33" t="n">
        <v>32575.32</v>
      </c>
      <c r="L91" s="34" t="n"/>
      <c r="M91" s="5" t="inlineStr">
        <is>
          <t>2026-09-17</t>
        </is>
      </c>
    </row>
    <row r="92">
      <c r="A92" s="5" t="inlineStr">
        <is>
          <t>outside_itemized</t>
        </is>
      </c>
      <c r="B92" s="5" t="n">
        <v>2026</v>
      </c>
      <c r="C92" s="5" t="inlineStr">
        <is>
          <t>Bob Brooks</t>
        </is>
      </c>
      <c r="D92" s="5" t="n"/>
      <c r="E92" s="5" t="inlineStr">
        <is>
          <t>Supports</t>
        </is>
      </c>
      <c r="F92" s="5" t="inlineStr">
        <is>
          <t>Television and media buys</t>
        </is>
      </c>
      <c r="G92" s="5" t="inlineStr">
        <is>
          <t>STRONGER TOGETHER PA</t>
        </is>
      </c>
      <c r="H92" s="5" t="inlineStr">
        <is>
          <t>AD BUY</t>
        </is>
      </c>
      <c r="I92" s="5" t="inlineStr">
        <is>
          <t>PHILADELPHIA</t>
        </is>
      </c>
      <c r="J92" s="5" t="inlineStr">
        <is>
          <t>PA</t>
        </is>
      </c>
      <c r="K92" s="33" t="n">
        <v>28000</v>
      </c>
      <c r="L92" s="34" t="n"/>
      <c r="M92" s="5" t="inlineStr">
        <is>
          <t>2026-04-09</t>
        </is>
      </c>
    </row>
    <row r="93">
      <c r="A93" s="5" t="inlineStr">
        <is>
          <t>outside_itemized</t>
        </is>
      </c>
      <c r="B93" s="5" t="n">
        <v>2026</v>
      </c>
      <c r="C93" s="5" t="inlineStr">
        <is>
          <t>Bob Brooks</t>
        </is>
      </c>
      <c r="D93" s="5" t="n"/>
      <c r="E93" s="5" t="inlineStr">
        <is>
          <t>Supports</t>
        </is>
      </c>
      <c r="F93" s="5" t="inlineStr">
        <is>
          <t>Television and media buys</t>
        </is>
      </c>
      <c r="G93" s="5" t="inlineStr">
        <is>
          <t>STRONGER TOGETHER PA</t>
        </is>
      </c>
      <c r="H93" s="5" t="inlineStr">
        <is>
          <t>AD BUY</t>
        </is>
      </c>
      <c r="I93" s="5" t="inlineStr">
        <is>
          <t>PHILADELPHIA</t>
        </is>
      </c>
      <c r="J93" s="5" t="inlineStr">
        <is>
          <t>PA</t>
        </is>
      </c>
      <c r="K93" s="33" t="n">
        <v>28000</v>
      </c>
      <c r="L93" s="34" t="n"/>
      <c r="M93" s="5" t="inlineStr">
        <is>
          <t>2026-04-02</t>
        </is>
      </c>
    </row>
    <row r="94">
      <c r="A94" s="5" t="inlineStr">
        <is>
          <t>outside_itemized</t>
        </is>
      </c>
      <c r="B94" s="5" t="n">
        <v>2026</v>
      </c>
      <c r="C94" s="5" t="inlineStr">
        <is>
          <t>Ryan Mackenzie</t>
        </is>
      </c>
      <c r="D94" s="5" t="n"/>
      <c r="E94" s="5" t="inlineStr">
        <is>
          <t>Opposes</t>
        </is>
      </c>
      <c r="F94" s="5" t="inlineStr">
        <is>
          <t>Mail and print</t>
        </is>
      </c>
      <c r="G94" s="5" t="inlineStr">
        <is>
          <t>IN UNION USA</t>
        </is>
      </c>
      <c r="H94" s="5" t="inlineStr">
        <is>
          <t>DIRECT MAIL PROGRAM</t>
        </is>
      </c>
      <c r="I94" s="5" t="inlineStr">
        <is>
          <t>ARLINGTON</t>
        </is>
      </c>
      <c r="J94" s="5" t="inlineStr">
        <is>
          <t>VA</t>
        </is>
      </c>
      <c r="K94" s="33" t="n">
        <v>26382.22</v>
      </c>
      <c r="L94" s="34" t="n"/>
      <c r="M94" s="5" t="inlineStr">
        <is>
          <t>2026-09-25</t>
        </is>
      </c>
    </row>
    <row r="95">
      <c r="A95" s="5" t="inlineStr">
        <is>
          <t>outside_itemized</t>
        </is>
      </c>
      <c r="B95" s="5" t="n">
        <v>2026</v>
      </c>
      <c r="C95" s="5" t="inlineStr">
        <is>
          <t>Bob Brooks</t>
        </is>
      </c>
      <c r="D95" s="5" t="n"/>
      <c r="E95" s="5" t="inlineStr">
        <is>
          <t>Supports</t>
        </is>
      </c>
      <c r="F95" s="5" t="inlineStr">
        <is>
          <t>Television and media buys</t>
        </is>
      </c>
      <c r="G95" s="5" t="inlineStr">
        <is>
          <t>STRONGER TOGETHER PA</t>
        </is>
      </c>
      <c r="H95" s="5" t="inlineStr">
        <is>
          <t>AD BUY</t>
        </is>
      </c>
      <c r="I95" s="5" t="inlineStr">
        <is>
          <t>PHILADELPHIA</t>
        </is>
      </c>
      <c r="J95" s="5" t="inlineStr">
        <is>
          <t>PA</t>
        </is>
      </c>
      <c r="K95" s="33" t="n">
        <v>25500</v>
      </c>
      <c r="L95" s="34" t="n"/>
      <c r="M95" s="5" t="inlineStr">
        <is>
          <t>2026-05-07</t>
        </is>
      </c>
    </row>
    <row r="96">
      <c r="A96" s="5" t="inlineStr">
        <is>
          <t>outside_itemized</t>
        </is>
      </c>
      <c r="B96" s="5" t="n">
        <v>2026</v>
      </c>
      <c r="C96" s="5" t="inlineStr">
        <is>
          <t>Bob Brooks</t>
        </is>
      </c>
      <c r="D96" s="5" t="n"/>
      <c r="E96" s="5" t="inlineStr">
        <is>
          <t>Supports</t>
        </is>
      </c>
      <c r="F96" s="5" t="inlineStr">
        <is>
          <t>Mail and print</t>
        </is>
      </c>
      <c r="G96" s="5" t="inlineStr">
        <is>
          <t>DLP PAC</t>
        </is>
      </c>
      <c r="H96" s="5" t="inlineStr">
        <is>
          <t>PRINTING AND POSTAGE</t>
        </is>
      </c>
      <c r="I96" s="5" t="inlineStr">
        <is>
          <t>DOVER</t>
        </is>
      </c>
      <c r="J96" s="5" t="inlineStr">
        <is>
          <t>DE</t>
        </is>
      </c>
      <c r="K96" s="33" t="n">
        <v>25226.25</v>
      </c>
      <c r="L96" s="34" t="n"/>
      <c r="M96" s="5" t="inlineStr">
        <is>
          <t>2026-04-01</t>
        </is>
      </c>
    </row>
    <row r="97">
      <c r="A97" s="5" t="inlineStr">
        <is>
          <t>outside_itemized</t>
        </is>
      </c>
      <c r="B97" s="5" t="n">
        <v>2026</v>
      </c>
      <c r="C97" s="5" t="inlineStr">
        <is>
          <t>Bob Brooks</t>
        </is>
      </c>
      <c r="D97" s="5" t="n"/>
      <c r="E97" s="5" t="inlineStr">
        <is>
          <t>Supports</t>
        </is>
      </c>
      <c r="F97" s="5" t="inlineStr">
        <is>
          <t>Texting and phone calls</t>
        </is>
      </c>
      <c r="G97" s="5" t="inlineStr">
        <is>
          <t>STRONGER TOGETHER PA</t>
        </is>
      </c>
      <c r="H97" s="5" t="inlineStr">
        <is>
          <t>TEXTING</t>
        </is>
      </c>
      <c r="I97" s="5" t="inlineStr">
        <is>
          <t>PHILADELPHIA</t>
        </is>
      </c>
      <c r="J97" s="5" t="inlineStr">
        <is>
          <t>PA</t>
        </is>
      </c>
      <c r="K97" s="33" t="n">
        <v>25000</v>
      </c>
      <c r="L97" s="34" t="n"/>
      <c r="M97" s="5" t="inlineStr">
        <is>
          <t>2026-05-15</t>
        </is>
      </c>
    </row>
    <row r="98">
      <c r="A98" s="5" t="inlineStr">
        <is>
          <t>outside_itemized</t>
        </is>
      </c>
      <c r="B98" s="5" t="n">
        <v>2026</v>
      </c>
      <c r="C98" s="5" t="inlineStr">
        <is>
          <t>Bob Brooks</t>
        </is>
      </c>
      <c r="D98" s="5" t="n"/>
      <c r="E98" s="5" t="inlineStr">
        <is>
          <t>Supports</t>
        </is>
      </c>
      <c r="F98" s="5" t="inlineStr">
        <is>
          <t>Production</t>
        </is>
      </c>
      <c r="G98" s="5" t="inlineStr">
        <is>
          <t>STRONGER TOGETHER PA</t>
        </is>
      </c>
      <c r="H98" s="5" t="inlineStr">
        <is>
          <t>AD PRODUCTION</t>
        </is>
      </c>
      <c r="I98" s="5" t="inlineStr">
        <is>
          <t>PHILADELPHIA</t>
        </is>
      </c>
      <c r="J98" s="5" t="inlineStr">
        <is>
          <t>PA</t>
        </is>
      </c>
      <c r="K98" s="33" t="n">
        <v>25000</v>
      </c>
      <c r="L98" s="34" t="n"/>
      <c r="M98" s="5" t="inlineStr">
        <is>
          <t>2026-04-16</t>
        </is>
      </c>
    </row>
    <row r="99">
      <c r="A99" s="5" t="inlineStr">
        <is>
          <t>outside_itemized</t>
        </is>
      </c>
      <c r="B99" s="5" t="n">
        <v>2026</v>
      </c>
      <c r="C99" s="5" t="inlineStr">
        <is>
          <t>Bob Brooks</t>
        </is>
      </c>
      <c r="D99" s="5" t="n"/>
      <c r="E99" s="5" t="inlineStr">
        <is>
          <t>Supports</t>
        </is>
      </c>
      <c r="F99" s="5" t="inlineStr">
        <is>
          <t>Mail and print</t>
        </is>
      </c>
      <c r="G99" s="5" t="inlineStr">
        <is>
          <t>DLP PAC</t>
        </is>
      </c>
      <c r="H99" s="5" t="inlineStr">
        <is>
          <t>PRINTING AND POSTAGE</t>
        </is>
      </c>
      <c r="I99" s="5" t="inlineStr">
        <is>
          <t>DOVER</t>
        </is>
      </c>
      <c r="J99" s="5" t="inlineStr">
        <is>
          <t>DE</t>
        </is>
      </c>
      <c r="K99" s="33" t="n">
        <v>23584.25</v>
      </c>
      <c r="L99" s="34" t="n"/>
      <c r="M99" s="5" t="inlineStr">
        <is>
          <t>2026-04-01</t>
        </is>
      </c>
    </row>
    <row r="100">
      <c r="A100" s="5" t="inlineStr">
        <is>
          <t>outside_itemized</t>
        </is>
      </c>
      <c r="B100" s="5" t="n">
        <v>2026</v>
      </c>
      <c r="C100" s="5" t="inlineStr">
        <is>
          <t>Bob Brooks</t>
        </is>
      </c>
      <c r="D100" s="5" t="n"/>
      <c r="E100" s="5" t="inlineStr">
        <is>
          <t>Supports</t>
        </is>
      </c>
      <c r="F100" s="5" t="inlineStr">
        <is>
          <t>Canvassing and field</t>
        </is>
      </c>
      <c r="G100" s="5" t="inlineStr">
        <is>
          <t>PROGRESSIVE TURNOUT PROJECT</t>
        </is>
      </c>
      <c r="H100" s="5" t="inlineStr">
        <is>
          <t>FIELD ORGANIZING</t>
        </is>
      </c>
      <c r="I100" s="5" t="inlineStr">
        <is>
          <t>NEWBURYPORT</t>
        </is>
      </c>
      <c r="J100" s="5" t="inlineStr">
        <is>
          <t>MA</t>
        </is>
      </c>
      <c r="K100" s="33" t="n">
        <v>23285.26</v>
      </c>
      <c r="L100" s="34" t="n"/>
      <c r="M100" s="5" t="inlineStr">
        <is>
          <t>2026-09-27</t>
        </is>
      </c>
    </row>
    <row r="101">
      <c r="A101" s="5" t="inlineStr">
        <is>
          <t>outside_itemized</t>
        </is>
      </c>
      <c r="B101" s="5" t="n">
        <v>2026</v>
      </c>
      <c r="C101" s="5" t="inlineStr">
        <is>
          <t>Bob Brooks</t>
        </is>
      </c>
      <c r="D101" s="5" t="n"/>
      <c r="E101" s="5" t="inlineStr">
        <is>
          <t>Supports</t>
        </is>
      </c>
      <c r="F101" s="5" t="inlineStr">
        <is>
          <t>Texting and phone calls</t>
        </is>
      </c>
      <c r="G101" s="5" t="inlineStr">
        <is>
          <t>STRONGER TOGETHER PA</t>
        </is>
      </c>
      <c r="H101" s="5" t="inlineStr">
        <is>
          <t>TEXTING</t>
        </is>
      </c>
      <c r="I101" s="5" t="inlineStr">
        <is>
          <t>PHILADELPHIA</t>
        </is>
      </c>
      <c r="J101" s="5" t="inlineStr">
        <is>
          <t>PA</t>
        </is>
      </c>
      <c r="K101" s="33" t="n">
        <v>21000</v>
      </c>
      <c r="L101" s="34" t="n"/>
      <c r="M101" s="5" t="inlineStr">
        <is>
          <t>2026-05-13</t>
        </is>
      </c>
    </row>
    <row r="102">
      <c r="A102" s="5" t="inlineStr">
        <is>
          <t>outside_itemized</t>
        </is>
      </c>
      <c r="B102" s="5" t="n">
        <v>2026</v>
      </c>
      <c r="C102" s="5" t="inlineStr">
        <is>
          <t>Bob Brooks</t>
        </is>
      </c>
      <c r="D102" s="5" t="n"/>
      <c r="E102" s="5" t="inlineStr">
        <is>
          <t>Supports</t>
        </is>
      </c>
      <c r="F102" s="5" t="inlineStr">
        <is>
          <t>Mail and print</t>
        </is>
      </c>
      <c r="G102" s="5" t="inlineStr">
        <is>
          <t>DLP PAC</t>
        </is>
      </c>
      <c r="H102" s="5" t="inlineStr">
        <is>
          <t>PRINTING AND POSTAGE</t>
        </is>
      </c>
      <c r="I102" s="5" t="inlineStr">
        <is>
          <t>DOVER</t>
        </is>
      </c>
      <c r="J102" s="5" t="inlineStr">
        <is>
          <t>DE</t>
        </is>
      </c>
      <c r="K102" s="33" t="n">
        <v>19755.5</v>
      </c>
      <c r="L102" s="34" t="n"/>
      <c r="M102" s="5" t="inlineStr">
        <is>
          <t>2026-04-30</t>
        </is>
      </c>
    </row>
    <row r="103">
      <c r="A103" s="5" t="inlineStr">
        <is>
          <t>outside_itemized</t>
        </is>
      </c>
      <c r="B103" s="5" t="n">
        <v>2026</v>
      </c>
      <c r="C103" s="5" t="inlineStr">
        <is>
          <t>Bob Brooks</t>
        </is>
      </c>
      <c r="D103" s="5" t="n"/>
      <c r="E103" s="5" t="inlineStr">
        <is>
          <t>Supports</t>
        </is>
      </c>
      <c r="F103" s="5" t="inlineStr">
        <is>
          <t>Mail and print</t>
        </is>
      </c>
      <c r="G103" s="5" t="inlineStr">
        <is>
          <t>DLP PAC</t>
        </is>
      </c>
      <c r="H103" s="5" t="inlineStr">
        <is>
          <t>PRINTING AND POSTAGE</t>
        </is>
      </c>
      <c r="I103" s="5" t="inlineStr">
        <is>
          <t>DOVER</t>
        </is>
      </c>
      <c r="J103" s="5" t="inlineStr">
        <is>
          <t>DE</t>
        </is>
      </c>
      <c r="K103" s="33" t="n">
        <v>19755.5</v>
      </c>
      <c r="L103" s="34" t="n"/>
      <c r="M103" s="5" t="inlineStr">
        <is>
          <t>2026-04-22</t>
        </is>
      </c>
    </row>
    <row r="104">
      <c r="A104" s="5" t="inlineStr">
        <is>
          <t>outside_itemized</t>
        </is>
      </c>
      <c r="B104" s="5" t="n">
        <v>2026</v>
      </c>
      <c r="C104" s="5" t="inlineStr">
        <is>
          <t>Bob Brooks</t>
        </is>
      </c>
      <c r="D104" s="5" t="n"/>
      <c r="E104" s="5" t="inlineStr">
        <is>
          <t>Supports</t>
        </is>
      </c>
      <c r="F104" s="5" t="inlineStr">
        <is>
          <t>Other</t>
        </is>
      </c>
      <c r="G104" s="5" t="inlineStr">
        <is>
          <t>RURAL FREEDOM NETWORK</t>
        </is>
      </c>
      <c r="H104" s="5" t="inlineStr">
        <is>
          <t>BILLBOARDS</t>
        </is>
      </c>
      <c r="I104" s="5" t="inlineStr">
        <is>
          <t>CHICAGO</t>
        </is>
      </c>
      <c r="J104" s="5" t="inlineStr">
        <is>
          <t>IL</t>
        </is>
      </c>
      <c r="K104" s="33" t="n">
        <v>15038</v>
      </c>
      <c r="L104" s="34" t="n"/>
      <c r="M104" s="5" t="inlineStr">
        <is>
          <t>2026-08-10</t>
        </is>
      </c>
    </row>
    <row r="105">
      <c r="A105" s="5" t="inlineStr">
        <is>
          <t>outside_itemized</t>
        </is>
      </c>
      <c r="B105" s="5" t="n">
        <v>2026</v>
      </c>
      <c r="C105" s="5" t="inlineStr">
        <is>
          <t>Bob Brooks</t>
        </is>
      </c>
      <c r="D105" s="5" t="n"/>
      <c r="E105" s="5" t="inlineStr">
        <is>
          <t>Supports</t>
        </is>
      </c>
      <c r="F105" s="5" t="inlineStr">
        <is>
          <t>Radio</t>
        </is>
      </c>
      <c r="G105" s="5" t="inlineStr">
        <is>
          <t>RURAL FREEDOM NETWORK</t>
        </is>
      </c>
      <c r="H105" s="5" t="inlineStr">
        <is>
          <t>RADIO ADVERTISING</t>
        </is>
      </c>
      <c r="I105" s="5" t="inlineStr">
        <is>
          <t>MYRTLE BEACH</t>
        </is>
      </c>
      <c r="J105" s="5" t="inlineStr">
        <is>
          <t>SC</t>
        </is>
      </c>
      <c r="K105" s="33" t="n">
        <v>13664</v>
      </c>
      <c r="L105" s="34" t="n"/>
      <c r="M105" s="5" t="inlineStr">
        <is>
          <t>2026-09-14</t>
        </is>
      </c>
    </row>
    <row r="106">
      <c r="A106" s="5" t="inlineStr">
        <is>
          <t>outside_itemized</t>
        </is>
      </c>
      <c r="B106" s="5" t="n">
        <v>2026</v>
      </c>
      <c r="C106" s="5" t="inlineStr">
        <is>
          <t>Ryan Mackenzie</t>
        </is>
      </c>
      <c r="D106" s="5" t="n"/>
      <c r="E106" s="5" t="inlineStr">
        <is>
          <t>Opposes</t>
        </is>
      </c>
      <c r="F106" s="5" t="inlineStr">
        <is>
          <t>Production</t>
        </is>
      </c>
      <c r="G106" s="5" t="inlineStr">
        <is>
          <t>HMP</t>
        </is>
      </c>
      <c r="H106" s="5" t="inlineStr">
        <is>
          <t>MEDIA PRODUCTION</t>
        </is>
      </c>
      <c r="I106" s="5" t="inlineStr">
        <is>
          <t>WASHINGTON</t>
        </is>
      </c>
      <c r="J106" s="5" t="inlineStr">
        <is>
          <t>DC</t>
        </is>
      </c>
      <c r="K106" s="33" t="n">
        <v>13498.5</v>
      </c>
      <c r="L106" s="34" t="n"/>
      <c r="M106" s="5" t="inlineStr">
        <is>
          <t>2026-09-23</t>
        </is>
      </c>
    </row>
    <row r="107">
      <c r="A107" s="5" t="inlineStr">
        <is>
          <t>outside_itemized</t>
        </is>
      </c>
      <c r="B107" s="5" t="n">
        <v>2026</v>
      </c>
      <c r="C107" s="5" t="inlineStr">
        <is>
          <t>Bob Brooks</t>
        </is>
      </c>
      <c r="D107" s="5" t="n"/>
      <c r="E107" s="5" t="inlineStr">
        <is>
          <t>Supports</t>
        </is>
      </c>
      <c r="F107" s="5" t="inlineStr">
        <is>
          <t>Digital advertising</t>
        </is>
      </c>
      <c r="G107" s="5" t="inlineStr">
        <is>
          <t>CONGRESSIONAL PROGRESSIVE CAUCUS PAC</t>
        </is>
      </c>
      <c r="H107" s="5" t="inlineStr">
        <is>
          <t>DIGITAL AD PRODUCTION - ACTUAL AMOUNT OF ESTIMATE PREVIOUSLY REPORTED 04/29/2026</t>
        </is>
      </c>
      <c r="I107" s="5" t="inlineStr">
        <is>
          <t>CHICAGO</t>
        </is>
      </c>
      <c r="J107" s="5" t="inlineStr">
        <is>
          <t>IL</t>
        </is>
      </c>
      <c r="K107" s="33" t="n">
        <v>12300</v>
      </c>
      <c r="L107" s="34" t="n"/>
      <c r="M107" s="5" t="inlineStr">
        <is>
          <t>2026-04-30</t>
        </is>
      </c>
    </row>
    <row r="108">
      <c r="A108" s="5" t="inlineStr">
        <is>
          <t>outside_itemized</t>
        </is>
      </c>
      <c r="B108" s="5" t="n">
        <v>2026</v>
      </c>
      <c r="C108" s="5" t="inlineStr">
        <is>
          <t>Bob Brooks</t>
        </is>
      </c>
      <c r="D108" s="5" t="n"/>
      <c r="E108" s="5" t="inlineStr">
        <is>
          <t>Supports</t>
        </is>
      </c>
      <c r="F108" s="5" t="inlineStr">
        <is>
          <t>Canvassing and field</t>
        </is>
      </c>
      <c r="G108" s="5" t="inlineStr">
        <is>
          <t>MAKE THE ROAD ACTION POLITICAL COMMITTEE</t>
        </is>
      </c>
      <c r="H108" s="5" t="inlineStr">
        <is>
          <t>CANVASSING SERVICES  (CORRESPONDING MEMO ON 24/48 CAN NOT BE DELETED IN FECFILE)</t>
        </is>
      </c>
      <c r="I108" s="5" t="inlineStr">
        <is>
          <t>BROOKLYN</t>
        </is>
      </c>
      <c r="J108" s="5" t="inlineStr">
        <is>
          <t>NY</t>
        </is>
      </c>
      <c r="K108" s="33" t="n">
        <v>12062</v>
      </c>
      <c r="L108" s="34" t="n"/>
      <c r="M108" s="5" t="inlineStr">
        <is>
          <t>2026-06-01</t>
        </is>
      </c>
    </row>
    <row r="109">
      <c r="A109" s="5" t="inlineStr">
        <is>
          <t>outside_itemized</t>
        </is>
      </c>
      <c r="B109" s="5" t="n">
        <v>2026</v>
      </c>
      <c r="C109" s="5" t="inlineStr">
        <is>
          <t>Bob Brooks</t>
        </is>
      </c>
      <c r="D109" s="5" t="n"/>
      <c r="E109" s="5" t="inlineStr">
        <is>
          <t>Supports</t>
        </is>
      </c>
      <c r="F109" s="5" t="inlineStr">
        <is>
          <t>Production</t>
        </is>
      </c>
      <c r="G109" s="5" t="inlineStr">
        <is>
          <t>HMP</t>
        </is>
      </c>
      <c r="H109" s="5" t="inlineStr">
        <is>
          <t>MEDIA PRODUCTION</t>
        </is>
      </c>
      <c r="I109" s="5" t="inlineStr">
        <is>
          <t>WASHINGTON</t>
        </is>
      </c>
      <c r="J109" s="5" t="inlineStr">
        <is>
          <t>DC</t>
        </is>
      </c>
      <c r="K109" s="33" t="n">
        <v>11831.38</v>
      </c>
      <c r="L109" s="34" t="n"/>
      <c r="M109" s="5" t="inlineStr">
        <is>
          <t>2026-09-30</t>
        </is>
      </c>
    </row>
    <row r="110">
      <c r="A110" s="5" t="inlineStr">
        <is>
          <t>outside_itemized</t>
        </is>
      </c>
      <c r="B110" s="5" t="n">
        <v>2026</v>
      </c>
      <c r="C110" s="5" t="inlineStr">
        <is>
          <t>Bob Brooks</t>
        </is>
      </c>
      <c r="D110" s="5" t="n"/>
      <c r="E110" s="5" t="inlineStr">
        <is>
          <t>Supports</t>
        </is>
      </c>
      <c r="F110" s="5" t="inlineStr">
        <is>
          <t>Texting and phone calls</t>
        </is>
      </c>
      <c r="G110" s="5" t="inlineStr">
        <is>
          <t>BLUE MAJORITY PROJECT</t>
        </is>
      </c>
      <c r="H110" s="5" t="inlineStr">
        <is>
          <t>NON-CONTRIBUTION ACCOUT: TEXT MESSAGES</t>
        </is>
      </c>
      <c r="I110" s="5" t="inlineStr">
        <is>
          <t>DOVER</t>
        </is>
      </c>
      <c r="J110" s="5" t="inlineStr">
        <is>
          <t>DE</t>
        </is>
      </c>
      <c r="K110" s="33" t="n">
        <v>11510</v>
      </c>
      <c r="L110" s="34" t="n"/>
      <c r="M110" s="5" t="inlineStr">
        <is>
          <t>2025-12-21</t>
        </is>
      </c>
    </row>
    <row r="111">
      <c r="A111" s="5" t="inlineStr">
        <is>
          <t>outside_itemized</t>
        </is>
      </c>
      <c r="B111" s="5" t="n">
        <v>2026</v>
      </c>
      <c r="C111" s="5" t="inlineStr">
        <is>
          <t>Bob Brooks</t>
        </is>
      </c>
      <c r="D111" s="5" t="n"/>
      <c r="E111" s="5" t="inlineStr">
        <is>
          <t>Supports</t>
        </is>
      </c>
      <c r="F111" s="5" t="inlineStr">
        <is>
          <t>Other</t>
        </is>
      </c>
      <c r="G111" s="5" t="inlineStr">
        <is>
          <t>SENIORS EMPOWERING AN EFFECTIVE DEMOCRACY (SEED-PAC)</t>
        </is>
      </c>
      <c r="H111" s="5" t="inlineStr">
        <is>
          <t>NEWSPAPER AD</t>
        </is>
      </c>
      <c r="I111" s="5" t="inlineStr">
        <is>
          <t>ALLENTOWN</t>
        </is>
      </c>
      <c r="J111" s="5" t="inlineStr">
        <is>
          <t>PA</t>
        </is>
      </c>
      <c r="K111" s="33" t="n">
        <v>11000</v>
      </c>
      <c r="L111" s="34" t="n"/>
      <c r="M111" s="5" t="inlineStr">
        <is>
          <t>2026-08-19</t>
        </is>
      </c>
    </row>
    <row r="112">
      <c r="A112" s="5" t="inlineStr">
        <is>
          <t>outside_itemized</t>
        </is>
      </c>
      <c r="B112" s="5" t="n">
        <v>2026</v>
      </c>
      <c r="C112" s="5" t="inlineStr">
        <is>
          <t>Bob Brooks</t>
        </is>
      </c>
      <c r="D112" s="5" t="n"/>
      <c r="E112" s="5" t="inlineStr">
        <is>
          <t>Supports</t>
        </is>
      </c>
      <c r="F112" s="5" t="inlineStr">
        <is>
          <t>Other</t>
        </is>
      </c>
      <c r="G112" s="5" t="inlineStr">
        <is>
          <t>SENIORS EMPOWERING AN EFFECTIVE DEMOCRACY (SEED-PAC)</t>
        </is>
      </c>
      <c r="H112" s="5" t="inlineStr">
        <is>
          <t>POSTCARD AD</t>
        </is>
      </c>
      <c r="I112" s="5" t="inlineStr">
        <is>
          <t>PHILADELPHIA</t>
        </is>
      </c>
      <c r="J112" s="5" t="inlineStr">
        <is>
          <t>PA</t>
        </is>
      </c>
      <c r="K112" s="33" t="n">
        <v>10092.37</v>
      </c>
      <c r="L112" s="34" t="n"/>
      <c r="M112" s="5" t="inlineStr">
        <is>
          <t>2026-09-28</t>
        </is>
      </c>
    </row>
    <row r="113">
      <c r="A113" s="5" t="inlineStr">
        <is>
          <t>outside_itemized</t>
        </is>
      </c>
      <c r="B113" s="5" t="n">
        <v>2026</v>
      </c>
      <c r="C113" s="5" t="inlineStr">
        <is>
          <t>Bob Brooks</t>
        </is>
      </c>
      <c r="D113" s="5" t="n"/>
      <c r="E113" s="5" t="inlineStr">
        <is>
          <t>Supports</t>
        </is>
      </c>
      <c r="F113" s="5" t="inlineStr">
        <is>
          <t>Television and media buys</t>
        </is>
      </c>
      <c r="G113" s="5" t="inlineStr">
        <is>
          <t>STRONGER TOGETHER PA</t>
        </is>
      </c>
      <c r="H113" s="5" t="inlineStr">
        <is>
          <t>AD BUY</t>
        </is>
      </c>
      <c r="I113" s="5" t="inlineStr">
        <is>
          <t>PHILADELPHIA</t>
        </is>
      </c>
      <c r="J113" s="5" t="inlineStr">
        <is>
          <t>PA</t>
        </is>
      </c>
      <c r="K113" s="33" t="n">
        <v>10000</v>
      </c>
      <c r="L113" s="34" t="n"/>
      <c r="M113" s="5" t="inlineStr">
        <is>
          <t>2026-05-08</t>
        </is>
      </c>
    </row>
    <row r="114">
      <c r="A114" s="5" t="inlineStr">
        <is>
          <t>outside_itemized</t>
        </is>
      </c>
      <c r="B114" s="5" t="n">
        <v>2026</v>
      </c>
      <c r="C114" s="5" t="inlineStr">
        <is>
          <t>Bob Brooks</t>
        </is>
      </c>
      <c r="D114" s="5" t="n"/>
      <c r="E114" s="5" t="inlineStr">
        <is>
          <t>Opposes</t>
        </is>
      </c>
      <c r="F114" s="5" t="inlineStr">
        <is>
          <t>Mail and print</t>
        </is>
      </c>
      <c r="G114" s="5" t="inlineStr">
        <is>
          <t>LEAD LEFT PAC</t>
        </is>
      </c>
      <c r="H114" s="5" t="inlineStr">
        <is>
          <t>PRINTING  / POSTAGE</t>
        </is>
      </c>
      <c r="I114" s="5" t="inlineStr">
        <is>
          <t>PENSACOLA</t>
        </is>
      </c>
      <c r="J114" s="5" t="inlineStr">
        <is>
          <t>FL</t>
        </is>
      </c>
      <c r="K114" s="33" t="n">
        <v>9161.42</v>
      </c>
      <c r="L114" s="34" t="n"/>
      <c r="M114" s="5" t="inlineStr">
        <is>
          <t>2026-05-18</t>
        </is>
      </c>
    </row>
    <row r="115">
      <c r="A115" s="5" t="inlineStr">
        <is>
          <t>outside_itemized</t>
        </is>
      </c>
      <c r="B115" s="5" t="n">
        <v>2026</v>
      </c>
      <c r="C115" s="5" t="inlineStr">
        <is>
          <t>Bob Brooks</t>
        </is>
      </c>
      <c r="D115" s="5" t="n"/>
      <c r="E115" s="5" t="inlineStr">
        <is>
          <t>Opposes</t>
        </is>
      </c>
      <c r="F115" s="5" t="inlineStr">
        <is>
          <t>Mail and print</t>
        </is>
      </c>
      <c r="G115" s="5" t="inlineStr">
        <is>
          <t>LEAD LEFT PAC</t>
        </is>
      </c>
      <c r="H115" s="5" t="inlineStr">
        <is>
          <t>PRINTING  / POSTAGE</t>
        </is>
      </c>
      <c r="I115" s="5" t="inlineStr">
        <is>
          <t>PENSACOLA</t>
        </is>
      </c>
      <c r="J115" s="5" t="inlineStr">
        <is>
          <t>FL</t>
        </is>
      </c>
      <c r="K115" s="33" t="n">
        <v>9154.690000000001</v>
      </c>
      <c r="L115" s="34" t="n"/>
      <c r="M115" s="5" t="inlineStr">
        <is>
          <t>2026-05-07</t>
        </is>
      </c>
    </row>
    <row r="116">
      <c r="A116" s="5" t="inlineStr">
        <is>
          <t>outside_itemized</t>
        </is>
      </c>
      <c r="B116" s="5" t="n">
        <v>2026</v>
      </c>
      <c r="C116" s="5" t="inlineStr">
        <is>
          <t>Bob Brooks</t>
        </is>
      </c>
      <c r="D116" s="5" t="n"/>
      <c r="E116" s="5" t="inlineStr">
        <is>
          <t>Opposes</t>
        </is>
      </c>
      <c r="F116" s="5" t="inlineStr">
        <is>
          <t>Mail and print</t>
        </is>
      </c>
      <c r="G116" s="5" t="inlineStr">
        <is>
          <t>LEAD LEFT PAC</t>
        </is>
      </c>
      <c r="H116" s="5" t="inlineStr">
        <is>
          <t>PRINTING  / POSTAGE</t>
        </is>
      </c>
      <c r="I116" s="5" t="inlineStr">
        <is>
          <t>PENSACOLA</t>
        </is>
      </c>
      <c r="J116" s="5" t="inlineStr">
        <is>
          <t>FL</t>
        </is>
      </c>
      <c r="K116" s="33" t="n">
        <v>9153.559999999999</v>
      </c>
      <c r="L116" s="34" t="n"/>
      <c r="M116" s="5" t="inlineStr">
        <is>
          <t>2026-05-07</t>
        </is>
      </c>
    </row>
    <row r="117">
      <c r="A117" s="5" t="inlineStr">
        <is>
          <t>outside_itemized</t>
        </is>
      </c>
      <c r="B117" s="5" t="n">
        <v>2026</v>
      </c>
      <c r="C117" s="5" t="inlineStr">
        <is>
          <t>Bob Brooks</t>
        </is>
      </c>
      <c r="D117" s="5" t="n"/>
      <c r="E117" s="5" t="inlineStr">
        <is>
          <t>Opposes</t>
        </is>
      </c>
      <c r="F117" s="5" t="inlineStr">
        <is>
          <t>Mail and print</t>
        </is>
      </c>
      <c r="G117" s="5" t="inlineStr">
        <is>
          <t>LEAD LEFT PAC</t>
        </is>
      </c>
      <c r="H117" s="5" t="inlineStr">
        <is>
          <t>PRINTING  / POSTAGE</t>
        </is>
      </c>
      <c r="I117" s="5" t="inlineStr">
        <is>
          <t>PENSACOLA</t>
        </is>
      </c>
      <c r="J117" s="5" t="inlineStr">
        <is>
          <t>FL</t>
        </is>
      </c>
      <c r="K117" s="33" t="n">
        <v>9145.43</v>
      </c>
      <c r="L117" s="34" t="n"/>
      <c r="M117" s="5" t="inlineStr">
        <is>
          <t>2026-05-13</t>
        </is>
      </c>
    </row>
    <row r="118">
      <c r="A118" s="5" t="inlineStr">
        <is>
          <t>outside_itemized</t>
        </is>
      </c>
      <c r="B118" s="5" t="n">
        <v>2026</v>
      </c>
      <c r="C118" s="5" t="inlineStr">
        <is>
          <t>Bob Brooks</t>
        </is>
      </c>
      <c r="D118" s="5" t="n"/>
      <c r="E118" s="5" t="inlineStr">
        <is>
          <t>Supports</t>
        </is>
      </c>
      <c r="F118" s="5" t="inlineStr">
        <is>
          <t>Texting and phone calls</t>
        </is>
      </c>
      <c r="G118" s="5" t="inlineStr">
        <is>
          <t>BLUE BATTLEGROUND PROJECT</t>
        </is>
      </c>
      <c r="H118" s="5" t="inlineStr">
        <is>
          <t>TEXT MESSAGES</t>
        </is>
      </c>
      <c r="I118" s="5" t="inlineStr">
        <is>
          <t>DOVER</t>
        </is>
      </c>
      <c r="J118" s="5" t="inlineStr">
        <is>
          <t>DE</t>
        </is>
      </c>
      <c r="K118" s="33" t="n">
        <v>9116.67</v>
      </c>
      <c r="L118" s="34" t="n"/>
      <c r="M118" s="5" t="inlineStr">
        <is>
          <t>2026-02-24</t>
        </is>
      </c>
    </row>
    <row r="119">
      <c r="A119" s="5" t="inlineStr">
        <is>
          <t>outside_itemized</t>
        </is>
      </c>
      <c r="B119" s="5" t="n">
        <v>2026</v>
      </c>
      <c r="C119" s="5" t="inlineStr">
        <is>
          <t>Ryan Mackenzie</t>
        </is>
      </c>
      <c r="D119" s="5" t="n"/>
      <c r="E119" s="5" t="inlineStr">
        <is>
          <t>Opposes</t>
        </is>
      </c>
      <c r="F119" s="5" t="inlineStr">
        <is>
          <t>Production</t>
        </is>
      </c>
      <c r="G119" s="5" t="inlineStr">
        <is>
          <t>HMP</t>
        </is>
      </c>
      <c r="H119" s="5" t="inlineStr">
        <is>
          <t>MEDIA PRODUCTION</t>
        </is>
      </c>
      <c r="I119" s="5" t="inlineStr">
        <is>
          <t>WASHINGTON</t>
        </is>
      </c>
      <c r="J119" s="5" t="inlineStr">
        <is>
          <t>DC</t>
        </is>
      </c>
      <c r="K119" s="33" t="n">
        <v>8834</v>
      </c>
      <c r="L119" s="34" t="n"/>
      <c r="M119" s="5" t="inlineStr">
        <is>
          <t>2026-09-23</t>
        </is>
      </c>
    </row>
    <row r="120">
      <c r="A120" s="5" t="inlineStr">
        <is>
          <t>outside_itemized</t>
        </is>
      </c>
      <c r="B120" s="5" t="n">
        <v>2026</v>
      </c>
      <c r="C120" s="5" t="inlineStr">
        <is>
          <t>Bob Brooks</t>
        </is>
      </c>
      <c r="D120" s="5" t="n"/>
      <c r="E120" s="5" t="inlineStr">
        <is>
          <t>Supports</t>
        </is>
      </c>
      <c r="F120" s="5" t="inlineStr">
        <is>
          <t>Digital advertising</t>
        </is>
      </c>
      <c r="G120" s="5" t="inlineStr">
        <is>
          <t>HMP</t>
        </is>
      </c>
      <c r="H120" s="5" t="inlineStr">
        <is>
          <t>DIGITAL ADVERTISING</t>
        </is>
      </c>
      <c r="I120" s="5" t="inlineStr">
        <is>
          <t>WASHINGTON</t>
        </is>
      </c>
      <c r="J120" s="5" t="inlineStr">
        <is>
          <t>DC</t>
        </is>
      </c>
      <c r="K120" s="33" t="n">
        <v>6725</v>
      </c>
      <c r="L120" s="34" t="n"/>
      <c r="M120" s="5" t="inlineStr">
        <is>
          <t>2026-09-29</t>
        </is>
      </c>
    </row>
    <row r="121">
      <c r="A121" s="5" t="inlineStr">
        <is>
          <t>outside_itemized</t>
        </is>
      </c>
      <c r="B121" s="5" t="n">
        <v>2026</v>
      </c>
      <c r="C121" s="5" t="inlineStr">
        <is>
          <t>Bob Brooks</t>
        </is>
      </c>
      <c r="D121" s="5" t="n"/>
      <c r="E121" s="5" t="inlineStr">
        <is>
          <t>Supports</t>
        </is>
      </c>
      <c r="F121" s="5" t="inlineStr">
        <is>
          <t>Digital advertising</t>
        </is>
      </c>
      <c r="G121" s="5" t="inlineStr">
        <is>
          <t>HMP</t>
        </is>
      </c>
      <c r="H121" s="5" t="inlineStr">
        <is>
          <t>DIGITAL ADVERTISING</t>
        </is>
      </c>
      <c r="I121" s="5" t="inlineStr">
        <is>
          <t>WASHINGTON</t>
        </is>
      </c>
      <c r="J121" s="5" t="inlineStr">
        <is>
          <t>DC</t>
        </is>
      </c>
      <c r="K121" s="33" t="n">
        <v>6725</v>
      </c>
      <c r="L121" s="34" t="n"/>
      <c r="M121" s="5" t="inlineStr">
        <is>
          <t>2026-09-23</t>
        </is>
      </c>
    </row>
    <row r="122">
      <c r="A122" s="5" t="inlineStr">
        <is>
          <t>outside_itemized</t>
        </is>
      </c>
      <c r="B122" s="5" t="n">
        <v>2026</v>
      </c>
      <c r="C122" s="5" t="inlineStr">
        <is>
          <t>Bob Brooks</t>
        </is>
      </c>
      <c r="D122" s="5" t="n"/>
      <c r="E122" s="5" t="inlineStr">
        <is>
          <t>Supports</t>
        </is>
      </c>
      <c r="F122" s="5" t="inlineStr">
        <is>
          <t>Canvassing and field</t>
        </is>
      </c>
      <c r="G122" s="5" t="inlineStr">
        <is>
          <t>MAKE THE ROAD ACTION POLITICAL COMMITTEE</t>
        </is>
      </c>
      <c r="H122" s="5" t="inlineStr">
        <is>
          <t>CANVASSING SERVICES  (CORRESPONDING MEMO ON 24/48 CAN NOT BE DELETED IN FECFILE)</t>
        </is>
      </c>
      <c r="I122" s="5" t="inlineStr">
        <is>
          <t>BROOKLYN</t>
        </is>
      </c>
      <c r="J122" s="5" t="inlineStr">
        <is>
          <t>NY</t>
        </is>
      </c>
      <c r="K122" s="33" t="n">
        <v>6405</v>
      </c>
      <c r="L122" s="34" t="n"/>
      <c r="M122" s="5" t="inlineStr">
        <is>
          <t>2026-04-17</t>
        </is>
      </c>
    </row>
    <row r="123">
      <c r="A123" s="5" t="inlineStr">
        <is>
          <t>outside_itemized</t>
        </is>
      </c>
      <c r="B123" s="5" t="n">
        <v>2026</v>
      </c>
      <c r="C123" s="5" t="inlineStr">
        <is>
          <t>Ryan Mackenzie</t>
        </is>
      </c>
      <c r="D123" s="5" t="n"/>
      <c r="E123" s="5" t="inlineStr">
        <is>
          <t>Opposes</t>
        </is>
      </c>
      <c r="F123" s="5" t="inlineStr">
        <is>
          <t>Radio</t>
        </is>
      </c>
      <c r="G123" s="5" t="inlineStr">
        <is>
          <t>HMP</t>
        </is>
      </c>
      <c r="H123" s="5" t="inlineStr">
        <is>
          <t>RADIO ADVERTISING</t>
        </is>
      </c>
      <c r="I123" s="5" t="inlineStr">
        <is>
          <t>WASHINGTON</t>
        </is>
      </c>
      <c r="J123" s="5" t="inlineStr">
        <is>
          <t>DC</t>
        </is>
      </c>
      <c r="K123" s="33" t="n">
        <v>6048</v>
      </c>
      <c r="L123" s="34" t="n"/>
      <c r="M123" s="5" t="inlineStr">
        <is>
          <t>2026-09-29</t>
        </is>
      </c>
    </row>
    <row r="124">
      <c r="A124" s="5" t="inlineStr">
        <is>
          <t>outside_itemized</t>
        </is>
      </c>
      <c r="B124" s="5" t="n">
        <v>2026</v>
      </c>
      <c r="C124" s="5" t="inlineStr">
        <is>
          <t>Ryan Mackenzie</t>
        </is>
      </c>
      <c r="D124" s="5" t="n"/>
      <c r="E124" s="5" t="inlineStr">
        <is>
          <t>Opposes</t>
        </is>
      </c>
      <c r="F124" s="5" t="inlineStr">
        <is>
          <t>Mail and print</t>
        </is>
      </c>
      <c r="G124" s="5" t="inlineStr">
        <is>
          <t>YOUTH SAVE DEMOCRACY PAC</t>
        </is>
      </c>
      <c r="H124" s="5" t="inlineStr">
        <is>
          <t>PRINTING AND POSTAGE</t>
        </is>
      </c>
      <c r="I124" s="5" t="inlineStr">
        <is>
          <t>SAN ANTONIO</t>
        </is>
      </c>
      <c r="J124" s="5" t="inlineStr">
        <is>
          <t>TX</t>
        </is>
      </c>
      <c r="K124" s="33" t="n">
        <v>6044</v>
      </c>
      <c r="L124" s="34" t="n"/>
      <c r="M124" s="5" t="inlineStr">
        <is>
          <t>2025-04-14</t>
        </is>
      </c>
    </row>
    <row r="125">
      <c r="A125" s="5" t="inlineStr">
        <is>
          <t>outside_itemized</t>
        </is>
      </c>
      <c r="B125" s="5" t="n">
        <v>2026</v>
      </c>
      <c r="C125" s="5" t="inlineStr">
        <is>
          <t>Ryan Mackenzie</t>
        </is>
      </c>
      <c r="D125" s="5" t="n"/>
      <c r="E125" s="5" t="inlineStr">
        <is>
          <t>Opposes</t>
        </is>
      </c>
      <c r="F125" s="5" t="inlineStr">
        <is>
          <t>Production</t>
        </is>
      </c>
      <c r="G125" s="5" t="inlineStr">
        <is>
          <t>HMP</t>
        </is>
      </c>
      <c r="H125" s="5" t="inlineStr">
        <is>
          <t>MEDIA PRODUCTION</t>
        </is>
      </c>
      <c r="I125" s="5" t="inlineStr">
        <is>
          <t>WASHINGTON</t>
        </is>
      </c>
      <c r="J125" s="5" t="inlineStr">
        <is>
          <t>DC</t>
        </is>
      </c>
      <c r="K125" s="33" t="n">
        <v>5432.97</v>
      </c>
      <c r="L125" s="34" t="n"/>
      <c r="M125" s="5" t="inlineStr">
        <is>
          <t>2026-09-30</t>
        </is>
      </c>
    </row>
    <row r="126">
      <c r="A126" s="5" t="inlineStr">
        <is>
          <t>outside_itemized</t>
        </is>
      </c>
      <c r="B126" s="5" t="n">
        <v>2026</v>
      </c>
      <c r="C126" s="5" t="inlineStr">
        <is>
          <t>Bob Brooks</t>
        </is>
      </c>
      <c r="D126" s="5" t="n"/>
      <c r="E126" s="5" t="inlineStr">
        <is>
          <t>Supports</t>
        </is>
      </c>
      <c r="F126" s="5" t="inlineStr">
        <is>
          <t>Digital advertising</t>
        </is>
      </c>
      <c r="G126" s="5" t="inlineStr">
        <is>
          <t>HMP</t>
        </is>
      </c>
      <c r="H126" s="5" t="inlineStr">
        <is>
          <t>DIGITAL ADVERTISING</t>
        </is>
      </c>
      <c r="I126" s="5" t="inlineStr">
        <is>
          <t>WASHINGTON</t>
        </is>
      </c>
      <c r="J126" s="5" t="inlineStr">
        <is>
          <t>DC</t>
        </is>
      </c>
      <c r="K126" s="33" t="n">
        <v>5000</v>
      </c>
      <c r="L126" s="34" t="n"/>
      <c r="M126" s="5" t="inlineStr">
        <is>
          <t>2026-09-14</t>
        </is>
      </c>
    </row>
    <row r="127">
      <c r="A127" s="5" t="inlineStr">
        <is>
          <t>outside_itemized</t>
        </is>
      </c>
      <c r="B127" s="5" t="n">
        <v>2026</v>
      </c>
      <c r="C127" s="5" t="inlineStr">
        <is>
          <t>Bob Brooks</t>
        </is>
      </c>
      <c r="D127" s="5" t="n"/>
      <c r="E127" s="5" t="inlineStr">
        <is>
          <t>Supports</t>
        </is>
      </c>
      <c r="F127" s="5" t="inlineStr">
        <is>
          <t>Mail and print</t>
        </is>
      </c>
      <c r="G127" s="5" t="inlineStr">
        <is>
          <t>WORKING FAMILIES PARTY PAC</t>
        </is>
      </c>
      <c r="H127" s="5" t="inlineStr">
        <is>
          <t>DIRECT MAIL  FEC-1979274</t>
        </is>
      </c>
      <c r="I127" s="5" t="inlineStr">
        <is>
          <t>BROOKLYN</t>
        </is>
      </c>
      <c r="J127" s="5" t="inlineStr">
        <is>
          <t>NY</t>
        </is>
      </c>
      <c r="K127" s="33" t="n">
        <v>4639.8</v>
      </c>
      <c r="L127" s="34" t="n"/>
      <c r="M127" s="5" t="inlineStr">
        <is>
          <t>2026-08-10</t>
        </is>
      </c>
    </row>
    <row r="128">
      <c r="A128" s="5" t="inlineStr">
        <is>
          <t>outside_itemized</t>
        </is>
      </c>
      <c r="B128" s="5" t="n">
        <v>2026</v>
      </c>
      <c r="C128" s="5" t="inlineStr">
        <is>
          <t>Bob Brooks</t>
        </is>
      </c>
      <c r="D128" s="5" t="n"/>
      <c r="E128" s="5" t="inlineStr">
        <is>
          <t>Supports</t>
        </is>
      </c>
      <c r="F128" s="5" t="inlineStr">
        <is>
          <t>Digital advertising</t>
        </is>
      </c>
      <c r="G128" s="5" t="inlineStr">
        <is>
          <t>MEDICARE FOR ALL</t>
        </is>
      </c>
      <c r="H128" s="5" t="inlineStr">
        <is>
          <t>DIGITAL ADVERTISING PRODUCTION -ACTUAL COST</t>
        </is>
      </c>
      <c r="I128" s="5" t="inlineStr">
        <is>
          <t>CHICAGO</t>
        </is>
      </c>
      <c r="J128" s="5" t="inlineStr">
        <is>
          <t>IL</t>
        </is>
      </c>
      <c r="K128" s="33" t="n">
        <v>4625</v>
      </c>
      <c r="L128" s="34" t="n"/>
      <c r="M128" s="5" t="inlineStr">
        <is>
          <t>2026-05-18</t>
        </is>
      </c>
    </row>
    <row r="129">
      <c r="A129" s="5" t="inlineStr">
        <is>
          <t>outside_itemized</t>
        </is>
      </c>
      <c r="B129" s="5" t="n">
        <v>2026</v>
      </c>
      <c r="C129" s="5" t="inlineStr">
        <is>
          <t>Bob Brooks</t>
        </is>
      </c>
      <c r="D129" s="5" t="n"/>
      <c r="E129" s="5" t="inlineStr">
        <is>
          <t>Supports</t>
        </is>
      </c>
      <c r="F129" s="5" t="inlineStr">
        <is>
          <t>Texting and phone calls</t>
        </is>
      </c>
      <c r="G129" s="5" t="inlineStr">
        <is>
          <t>BLUE MAJORITY PROJECT</t>
        </is>
      </c>
      <c r="H129" s="5" t="inlineStr">
        <is>
          <t>NON-CONTRIBUTION ACCOUT: TEXT MESSAGES</t>
        </is>
      </c>
      <c r="I129" s="5" t="inlineStr">
        <is>
          <t>DOVER</t>
        </is>
      </c>
      <c r="J129" s="5" t="inlineStr">
        <is>
          <t>DE</t>
        </is>
      </c>
      <c r="K129" s="33" t="n">
        <v>4250</v>
      </c>
      <c r="L129" s="34" t="n"/>
      <c r="M129" s="5" t="inlineStr">
        <is>
          <t>2025-10-29</t>
        </is>
      </c>
    </row>
    <row r="130">
      <c r="A130" s="5" t="inlineStr">
        <is>
          <t>outside_itemized</t>
        </is>
      </c>
      <c r="B130" s="5" t="n">
        <v>2026</v>
      </c>
      <c r="C130" s="5" t="inlineStr">
        <is>
          <t>Bob Brooks</t>
        </is>
      </c>
      <c r="D130" s="5" t="n"/>
      <c r="E130" s="5" t="inlineStr">
        <is>
          <t>Supports</t>
        </is>
      </c>
      <c r="F130" s="5" t="inlineStr">
        <is>
          <t>Television and media buys</t>
        </is>
      </c>
      <c r="G130" s="5" t="inlineStr">
        <is>
          <t>STRONGER TOGETHER PA</t>
        </is>
      </c>
      <c r="H130" s="5" t="inlineStr">
        <is>
          <t>AD BUY</t>
        </is>
      </c>
      <c r="I130" s="5" t="inlineStr">
        <is>
          <t>PHILADELPHIA</t>
        </is>
      </c>
      <c r="J130" s="5" t="inlineStr">
        <is>
          <t>PA</t>
        </is>
      </c>
      <c r="K130" s="33" t="n">
        <v>4000</v>
      </c>
      <c r="L130" s="34" t="n"/>
      <c r="M130" s="5" t="inlineStr">
        <is>
          <t>2026-05-13</t>
        </is>
      </c>
    </row>
    <row r="131">
      <c r="A131" s="5" t="inlineStr">
        <is>
          <t>outside_itemized</t>
        </is>
      </c>
      <c r="B131" s="5" t="n">
        <v>2026</v>
      </c>
      <c r="C131" s="5" t="inlineStr">
        <is>
          <t>Bob Brooks</t>
        </is>
      </c>
      <c r="D131" s="5" t="n"/>
      <c r="E131" s="5" t="inlineStr">
        <is>
          <t>Supports</t>
        </is>
      </c>
      <c r="F131" s="5" t="inlineStr">
        <is>
          <t>Texting and phone calls</t>
        </is>
      </c>
      <c r="G131" s="5" t="inlineStr">
        <is>
          <t>MAJORITY BLUE PAC</t>
        </is>
      </c>
      <c r="H131" s="5" t="inlineStr">
        <is>
          <t>TEXT MESSAGES</t>
        </is>
      </c>
      <c r="I131" s="5" t="inlineStr">
        <is>
          <t>DOVER</t>
        </is>
      </c>
      <c r="J131" s="5" t="inlineStr">
        <is>
          <t>DE</t>
        </is>
      </c>
      <c r="K131" s="33" t="n">
        <v>3766.66</v>
      </c>
      <c r="L131" s="34" t="n"/>
      <c r="M131" s="5" t="inlineStr">
        <is>
          <t>2026-06-22</t>
        </is>
      </c>
    </row>
    <row r="132">
      <c r="A132" s="5" t="inlineStr">
        <is>
          <t>outside_itemized</t>
        </is>
      </c>
      <c r="B132" s="5" t="n">
        <v>2026</v>
      </c>
      <c r="C132" s="5" t="inlineStr">
        <is>
          <t>Bob Brooks</t>
        </is>
      </c>
      <c r="D132" s="5" t="n"/>
      <c r="E132" s="5" t="inlineStr">
        <is>
          <t>Supports</t>
        </is>
      </c>
      <c r="F132" s="5" t="inlineStr">
        <is>
          <t>Texting and phone calls</t>
        </is>
      </c>
      <c r="G132" s="5" t="inlineStr">
        <is>
          <t>BLUE SHIFT PAC</t>
        </is>
      </c>
      <c r="H132" s="5" t="inlineStr">
        <is>
          <t>TEXT MESSAGES</t>
        </is>
      </c>
      <c r="I132" s="5" t="inlineStr">
        <is>
          <t>DOVER</t>
        </is>
      </c>
      <c r="J132" s="5" t="inlineStr">
        <is>
          <t>DE</t>
        </is>
      </c>
      <c r="K132" s="33" t="n">
        <v>3625</v>
      </c>
      <c r="L132" s="34" t="n"/>
      <c r="M132" s="5" t="inlineStr">
        <is>
          <t>2026-06-22</t>
        </is>
      </c>
    </row>
    <row r="133">
      <c r="A133" s="5" t="inlineStr">
        <is>
          <t>outside_itemized</t>
        </is>
      </c>
      <c r="B133" s="5" t="n">
        <v>2026</v>
      </c>
      <c r="C133" s="5" t="inlineStr">
        <is>
          <t>Bob Brooks</t>
        </is>
      </c>
      <c r="D133" s="5" t="n"/>
      <c r="E133" s="5" t="inlineStr">
        <is>
          <t>Supports</t>
        </is>
      </c>
      <c r="F133" s="5" t="inlineStr">
        <is>
          <t>Mail and print</t>
        </is>
      </c>
      <c r="G133" s="5" t="inlineStr">
        <is>
          <t>WORKING FAMILIES PARTY PAC</t>
        </is>
      </c>
      <c r="H133" s="5" t="inlineStr">
        <is>
          <t>PRINTING</t>
        </is>
      </c>
      <c r="I133" s="5" t="inlineStr">
        <is>
          <t>PHILADELPHIA</t>
        </is>
      </c>
      <c r="J133" s="5" t="inlineStr">
        <is>
          <t>PA</t>
        </is>
      </c>
      <c r="K133" s="33" t="n">
        <v>3556.19</v>
      </c>
      <c r="L133" s="34" t="n"/>
      <c r="M133" s="5" t="inlineStr">
        <is>
          <t>2026-05-18</t>
        </is>
      </c>
    </row>
    <row r="134">
      <c r="A134" s="5" t="inlineStr">
        <is>
          <t>outside_itemized</t>
        </is>
      </c>
      <c r="B134" s="5" t="n">
        <v>2026</v>
      </c>
      <c r="C134" s="5" t="inlineStr">
        <is>
          <t>Bob Brooks</t>
        </is>
      </c>
      <c r="D134" s="5" t="n"/>
      <c r="E134" s="5" t="inlineStr">
        <is>
          <t>Supports</t>
        </is>
      </c>
      <c r="F134" s="5" t="inlineStr">
        <is>
          <t>Other</t>
        </is>
      </c>
      <c r="G134" s="5" t="inlineStr">
        <is>
          <t>SENIORS EMPOWERING AN EFFECTIVE DEMOCRACY (SEED-PAC)</t>
        </is>
      </c>
      <c r="H134" s="5" t="inlineStr">
        <is>
          <t>ADVERTIZING</t>
        </is>
      </c>
      <c r="I134" s="5" t="inlineStr">
        <is>
          <t>WAYNE</t>
        </is>
      </c>
      <c r="J134" s="5" t="inlineStr">
        <is>
          <t>PA</t>
        </is>
      </c>
      <c r="K134" s="33" t="n">
        <v>3300</v>
      </c>
      <c r="L134" s="34" t="n"/>
      <c r="M134" s="5" t="inlineStr">
        <is>
          <t>2026-09-22</t>
        </is>
      </c>
    </row>
    <row r="135">
      <c r="A135" s="5" t="inlineStr">
        <is>
          <t>outside_itemized</t>
        </is>
      </c>
      <c r="B135" s="5" t="n">
        <v>2026</v>
      </c>
      <c r="C135" s="5" t="inlineStr">
        <is>
          <t>Bob Brooks</t>
        </is>
      </c>
      <c r="D135" s="5" t="n"/>
      <c r="E135" s="5" t="inlineStr">
        <is>
          <t>Supports</t>
        </is>
      </c>
      <c r="F135" s="5" t="inlineStr">
        <is>
          <t>Television and media buys</t>
        </is>
      </c>
      <c r="G135" s="5" t="inlineStr">
        <is>
          <t>FF PAC</t>
        </is>
      </c>
      <c r="H135" s="5" t="inlineStr">
        <is>
          <t>MEDIA BUY AND AD SERVICING</t>
        </is>
      </c>
      <c r="I135" s="5" t="inlineStr">
        <is>
          <t>WASHINGTON</t>
        </is>
      </c>
      <c r="J135" s="5" t="inlineStr">
        <is>
          <t>DC</t>
        </is>
      </c>
      <c r="K135" s="33" t="n">
        <v>3300</v>
      </c>
      <c r="L135" s="34" t="n"/>
      <c r="M135" s="5" t="inlineStr">
        <is>
          <t>2026-05-18</t>
        </is>
      </c>
    </row>
    <row r="136">
      <c r="A136" s="5" t="inlineStr">
        <is>
          <t>outside_itemized</t>
        </is>
      </c>
      <c r="B136" s="5" t="n">
        <v>2026</v>
      </c>
      <c r="C136" s="5" t="inlineStr">
        <is>
          <t>Bob Brooks</t>
        </is>
      </c>
      <c r="D136" s="5" t="n"/>
      <c r="E136" s="5" t="inlineStr">
        <is>
          <t>Supports</t>
        </is>
      </c>
      <c r="F136" s="5" t="inlineStr">
        <is>
          <t>Other</t>
        </is>
      </c>
      <c r="G136" s="5" t="inlineStr">
        <is>
          <t>THOMAS PAINE SOCIETY L.L.C.</t>
        </is>
      </c>
      <c r="H136" s="5" t="inlineStr">
        <is>
          <t>POLITICAL ADVERTISING</t>
        </is>
      </c>
      <c r="I136" s="5" t="inlineStr">
        <is>
          <t>ALLENTOWN</t>
        </is>
      </c>
      <c r="J136" s="5" t="inlineStr">
        <is>
          <t>PA</t>
        </is>
      </c>
      <c r="K136" s="33" t="n">
        <v>3170.4</v>
      </c>
      <c r="L136" s="34" t="n"/>
      <c r="M136" s="5" t="inlineStr">
        <is>
          <t>2026-08-23</t>
        </is>
      </c>
    </row>
    <row r="137">
      <c r="A137" s="5" t="inlineStr">
        <is>
          <t>outside_itemized</t>
        </is>
      </c>
      <c r="B137" s="5" t="n">
        <v>2026</v>
      </c>
      <c r="C137" s="5" t="inlineStr">
        <is>
          <t>Bob Brooks</t>
        </is>
      </c>
      <c r="D137" s="5" t="n"/>
      <c r="E137" s="5" t="inlineStr">
        <is>
          <t>Supports</t>
        </is>
      </c>
      <c r="F137" s="5" t="inlineStr">
        <is>
          <t>Other</t>
        </is>
      </c>
      <c r="G137" s="5" t="inlineStr">
        <is>
          <t>THOMAS PAINE SOCIETY L.L.C.</t>
        </is>
      </c>
      <c r="H137" s="5" t="inlineStr">
        <is>
          <t>POLITICAL ADVERTISING</t>
        </is>
      </c>
      <c r="I137" s="5" t="inlineStr">
        <is>
          <t>ALLENTOWN</t>
        </is>
      </c>
      <c r="J137" s="5" t="inlineStr">
        <is>
          <t>PA</t>
        </is>
      </c>
      <c r="K137" s="33" t="n">
        <v>3170.4</v>
      </c>
      <c r="L137" s="34" t="n"/>
      <c r="M137" s="5" t="inlineStr">
        <is>
          <t>2026-08-16</t>
        </is>
      </c>
    </row>
    <row r="138">
      <c r="A138" s="5" t="inlineStr">
        <is>
          <t>outside_itemized</t>
        </is>
      </c>
      <c r="B138" s="5" t="n">
        <v>2026</v>
      </c>
      <c r="C138" s="5" t="inlineStr">
        <is>
          <t>Bob Brooks</t>
        </is>
      </c>
      <c r="D138" s="5" t="n"/>
      <c r="E138" s="5" t="inlineStr">
        <is>
          <t>Supports</t>
        </is>
      </c>
      <c r="F138" s="5" t="inlineStr">
        <is>
          <t>Other</t>
        </is>
      </c>
      <c r="G138" s="5" t="inlineStr">
        <is>
          <t>THOMAS PAINE SOCIETY L.L.C.</t>
        </is>
      </c>
      <c r="H138" s="5" t="inlineStr">
        <is>
          <t>POLITICAL ADVERTISING</t>
        </is>
      </c>
      <c r="I138" s="5" t="inlineStr">
        <is>
          <t>ALLENTOWN</t>
        </is>
      </c>
      <c r="J138" s="5" t="inlineStr">
        <is>
          <t>PA</t>
        </is>
      </c>
      <c r="K138" s="33" t="n">
        <v>3170.4</v>
      </c>
      <c r="L138" s="34" t="n"/>
      <c r="M138" s="5" t="inlineStr">
        <is>
          <t>2026-08-09</t>
        </is>
      </c>
    </row>
    <row r="139">
      <c r="A139" s="5" t="inlineStr">
        <is>
          <t>outside_itemized</t>
        </is>
      </c>
      <c r="B139" s="5" t="n">
        <v>2026</v>
      </c>
      <c r="C139" s="5" t="inlineStr">
        <is>
          <t>Bob Brooks</t>
        </is>
      </c>
      <c r="D139" s="5" t="n"/>
      <c r="E139" s="5" t="inlineStr">
        <is>
          <t>Supports</t>
        </is>
      </c>
      <c r="F139" s="5" t="inlineStr">
        <is>
          <t>Other</t>
        </is>
      </c>
      <c r="G139" s="5" t="inlineStr">
        <is>
          <t>THOMAS PAINE SOCIETY L.L.C.</t>
        </is>
      </c>
      <c r="H139" s="5" t="inlineStr">
        <is>
          <t>POLITICAL ADVERTISING</t>
        </is>
      </c>
      <c r="I139" s="5" t="inlineStr">
        <is>
          <t>ALLENTOWN</t>
        </is>
      </c>
      <c r="J139" s="5" t="inlineStr">
        <is>
          <t>PA</t>
        </is>
      </c>
      <c r="K139" s="33" t="n">
        <v>3170.4</v>
      </c>
      <c r="L139" s="34" t="n"/>
      <c r="M139" s="5" t="inlineStr">
        <is>
          <t>2026-08-02</t>
        </is>
      </c>
    </row>
    <row r="140">
      <c r="A140" s="5" t="inlineStr">
        <is>
          <t>outside_itemized</t>
        </is>
      </c>
      <c r="B140" s="5" t="n">
        <v>2026</v>
      </c>
      <c r="C140" s="5" t="inlineStr">
        <is>
          <t>Bob Brooks</t>
        </is>
      </c>
      <c r="D140" s="5" t="n"/>
      <c r="E140" s="5" t="inlineStr">
        <is>
          <t>Supports</t>
        </is>
      </c>
      <c r="F140" s="5" t="inlineStr">
        <is>
          <t>Other</t>
        </is>
      </c>
      <c r="G140" s="5" t="inlineStr">
        <is>
          <t>THOMAS PAINE SOCIETY L.L.C.</t>
        </is>
      </c>
      <c r="H140" s="5" t="inlineStr">
        <is>
          <t>POLITICAL ADVERTISING</t>
        </is>
      </c>
      <c r="I140" s="5" t="inlineStr">
        <is>
          <t>ALLENTOWN</t>
        </is>
      </c>
      <c r="J140" s="5" t="inlineStr">
        <is>
          <t>PA</t>
        </is>
      </c>
      <c r="K140" s="33" t="n">
        <v>3170.4</v>
      </c>
      <c r="L140" s="34" t="n"/>
      <c r="M140" s="5" t="inlineStr">
        <is>
          <t>2026-07-26</t>
        </is>
      </c>
    </row>
    <row r="141">
      <c r="A141" s="5" t="inlineStr">
        <is>
          <t>outside_itemized</t>
        </is>
      </c>
      <c r="B141" s="5" t="n">
        <v>2026</v>
      </c>
      <c r="C141" s="5" t="inlineStr">
        <is>
          <t>Bob Brooks</t>
        </is>
      </c>
      <c r="D141" s="5" t="n"/>
      <c r="E141" s="5" t="inlineStr">
        <is>
          <t>Supports</t>
        </is>
      </c>
      <c r="F141" s="5" t="inlineStr">
        <is>
          <t>Canvassing and field</t>
        </is>
      </c>
      <c r="G141" s="5" t="inlineStr">
        <is>
          <t>MAKE THE ROAD ACTION POLITICAL COMMITTEE</t>
        </is>
      </c>
      <c r="H141" s="5" t="inlineStr">
        <is>
          <t>CANVASSING SERVICES  (CORRESPONDING MEMO ON 24/48 CAN NOT BE DELETED IN FECFILE)</t>
        </is>
      </c>
      <c r="I141" s="5" t="inlineStr">
        <is>
          <t>BROOKLYN</t>
        </is>
      </c>
      <c r="J141" s="5" t="inlineStr">
        <is>
          <t>NY</t>
        </is>
      </c>
      <c r="K141" s="33" t="n">
        <v>3160.5</v>
      </c>
      <c r="L141" s="34" t="n"/>
      <c r="M141" s="5" t="inlineStr">
        <is>
          <t>2026-04-04</t>
        </is>
      </c>
    </row>
    <row r="142">
      <c r="A142" s="5" t="inlineStr">
        <is>
          <t>outside_itemized</t>
        </is>
      </c>
      <c r="B142" s="5" t="n">
        <v>2026</v>
      </c>
      <c r="C142" s="5" t="inlineStr">
        <is>
          <t>Bob Brooks</t>
        </is>
      </c>
      <c r="D142" s="5" t="n"/>
      <c r="E142" s="5" t="inlineStr">
        <is>
          <t>Supports</t>
        </is>
      </c>
      <c r="F142" s="5" t="inlineStr">
        <is>
          <t>Canvassing and field</t>
        </is>
      </c>
      <c r="G142" s="5" t="inlineStr">
        <is>
          <t>MAKE THE ROAD ACTION POLITICAL COMMITTEE</t>
        </is>
      </c>
      <c r="H142" s="5" t="inlineStr">
        <is>
          <t>CANVASSING SERVICES  (CORRESPONDING MEMO ON 24/48 CAN NOT BE DELETED IN FECFILE)</t>
        </is>
      </c>
      <c r="I142" s="5" t="inlineStr">
        <is>
          <t>BROOKLYN</t>
        </is>
      </c>
      <c r="J142" s="5" t="inlineStr">
        <is>
          <t>NY</t>
        </is>
      </c>
      <c r="K142" s="33" t="n">
        <v>3118.5</v>
      </c>
      <c r="L142" s="34" t="n"/>
      <c r="M142" s="5" t="inlineStr">
        <is>
          <t>2026-04-10</t>
        </is>
      </c>
    </row>
    <row r="143">
      <c r="A143" s="5" t="inlineStr">
        <is>
          <t>outside_itemized</t>
        </is>
      </c>
      <c r="B143" s="5" t="n">
        <v>2026</v>
      </c>
      <c r="C143" s="5" t="inlineStr">
        <is>
          <t>Bob Brooks</t>
        </is>
      </c>
      <c r="D143" s="5" t="n"/>
      <c r="E143" s="5" t="inlineStr">
        <is>
          <t>Supports</t>
        </is>
      </c>
      <c r="F143" s="5" t="inlineStr">
        <is>
          <t>Canvassing and field</t>
        </is>
      </c>
      <c r="G143" s="5" t="inlineStr">
        <is>
          <t>MAKE THE ROAD ACTION POLITICAL COMMITTEE</t>
        </is>
      </c>
      <c r="H143" s="5" t="inlineStr">
        <is>
          <t>CANVASSING SERVICES (CORRESPONDING MEMO ON 24/48 CAN NOT BE DELETED IN FECFILE)</t>
        </is>
      </c>
      <c r="I143" s="5" t="inlineStr">
        <is>
          <t>BROOKLYN</t>
        </is>
      </c>
      <c r="J143" s="5" t="inlineStr">
        <is>
          <t>NY</t>
        </is>
      </c>
      <c r="K143" s="33" t="n">
        <v>2940</v>
      </c>
      <c r="L143" s="34" t="n"/>
      <c r="M143" s="5" t="inlineStr">
        <is>
          <t>2026-06-01</t>
        </is>
      </c>
    </row>
    <row r="144">
      <c r="A144" s="5" t="inlineStr">
        <is>
          <t>outside_itemized</t>
        </is>
      </c>
      <c r="B144" s="5" t="n">
        <v>2026</v>
      </c>
      <c r="C144" s="5" t="inlineStr">
        <is>
          <t>Bob Brooks</t>
        </is>
      </c>
      <c r="D144" s="5" t="n"/>
      <c r="E144" s="5" t="inlineStr">
        <is>
          <t>Opposes</t>
        </is>
      </c>
      <c r="F144" s="5" t="inlineStr">
        <is>
          <t>Radio</t>
        </is>
      </c>
      <c r="G144" s="5" t="inlineStr">
        <is>
          <t>KITCHEN TABLE VALUES PAC</t>
        </is>
      </c>
      <c r="H144" s="5" t="inlineStr">
        <is>
          <t>RADIO AD</t>
        </is>
      </c>
      <c r="I144" s="5" t="inlineStr">
        <is>
          <t>ALLENTOWN</t>
        </is>
      </c>
      <c r="J144" s="5" t="inlineStr">
        <is>
          <t>PA</t>
        </is>
      </c>
      <c r="K144" s="33" t="n">
        <v>2040</v>
      </c>
      <c r="L144" s="34" t="n"/>
      <c r="M144" s="5" t="inlineStr">
        <is>
          <t>2026-05-11</t>
        </is>
      </c>
    </row>
    <row r="145">
      <c r="A145" s="5" t="inlineStr">
        <is>
          <t>outside_itemized</t>
        </is>
      </c>
      <c r="B145" s="5" t="n">
        <v>2026</v>
      </c>
      <c r="C145" s="5" t="inlineStr">
        <is>
          <t>Bob Brooks</t>
        </is>
      </c>
      <c r="D145" s="5" t="n"/>
      <c r="E145" s="5" t="inlineStr">
        <is>
          <t>Supports</t>
        </is>
      </c>
      <c r="F145" s="5" t="inlineStr">
        <is>
          <t>Texting and phone calls</t>
        </is>
      </c>
      <c r="G145" s="5" t="inlineStr">
        <is>
          <t>SEIU COPE (SERVICE EMPLOYEES INTERNATIONAL UNION COMMITTEE ON POLITICAL EDUCATION)</t>
        </is>
      </c>
      <c r="H145" s="5" t="inlineStr">
        <is>
          <t>PAYMENT FOR TEXTING AS DISCLOSED ON 5/17 24-HOUR NOTICE &amp; 6/20 MONTHLY REPORT</t>
        </is>
      </c>
      <c r="I145" s="5" t="inlineStr">
        <is>
          <t>SANTA ANA</t>
        </is>
      </c>
      <c r="J145" s="5" t="inlineStr">
        <is>
          <t>CA</t>
        </is>
      </c>
      <c r="K145" s="33" t="n">
        <v>2001.41</v>
      </c>
      <c r="L145" s="34" t="n"/>
      <c r="M145" s="5" t="inlineStr">
        <is>
          <t>2026-08-13</t>
        </is>
      </c>
    </row>
    <row r="146">
      <c r="A146" s="5" t="inlineStr">
        <is>
          <t>outside_itemized</t>
        </is>
      </c>
      <c r="B146" s="5" t="n">
        <v>2026</v>
      </c>
      <c r="C146" s="5" t="inlineStr">
        <is>
          <t>Bob Brooks</t>
        </is>
      </c>
      <c r="D146" s="5" t="n"/>
      <c r="E146" s="5" t="inlineStr">
        <is>
          <t>Supports</t>
        </is>
      </c>
      <c r="F146" s="5" t="inlineStr">
        <is>
          <t>Mail and print</t>
        </is>
      </c>
      <c r="G146" s="5" t="inlineStr">
        <is>
          <t>RURAL FREEDOM NETWORK</t>
        </is>
      </c>
      <c r="H146" s="5" t="inlineStr">
        <is>
          <t>PRINTING</t>
        </is>
      </c>
      <c r="I146" s="5" t="inlineStr">
        <is>
          <t>CLEVELAND</t>
        </is>
      </c>
      <c r="J146" s="5" t="inlineStr">
        <is>
          <t>OH</t>
        </is>
      </c>
      <c r="K146" s="33" t="n">
        <v>1745.97</v>
      </c>
      <c r="L146" s="34" t="n"/>
      <c r="M146" s="5" t="inlineStr">
        <is>
          <t>2026-09-15</t>
        </is>
      </c>
    </row>
    <row r="147">
      <c r="A147" s="5" t="inlineStr">
        <is>
          <t>outside_itemized</t>
        </is>
      </c>
      <c r="B147" s="5" t="n">
        <v>2026</v>
      </c>
      <c r="C147" s="5" t="inlineStr">
        <is>
          <t>Bob Brooks</t>
        </is>
      </c>
      <c r="D147" s="5" t="n"/>
      <c r="E147" s="5" t="inlineStr">
        <is>
          <t>Opposes</t>
        </is>
      </c>
      <c r="F147" s="5" t="inlineStr">
        <is>
          <t>Texting and phone calls</t>
        </is>
      </c>
      <c r="G147" s="5" t="inlineStr">
        <is>
          <t>KITCHEN TABLE VALUES PAC</t>
        </is>
      </c>
      <c r="H147" s="5" t="inlineStr">
        <is>
          <t>TEXTS</t>
        </is>
      </c>
      <c r="I147" s="5" t="inlineStr">
        <is>
          <t>BETHLEHEM</t>
        </is>
      </c>
      <c r="J147" s="5" t="inlineStr">
        <is>
          <t>PA</t>
        </is>
      </c>
      <c r="K147" s="33" t="n">
        <v>1700</v>
      </c>
      <c r="L147" s="34" t="n"/>
      <c r="M147" s="5" t="inlineStr">
        <is>
          <t>2026-05-05</t>
        </is>
      </c>
    </row>
    <row r="148">
      <c r="A148" s="5" t="inlineStr">
        <is>
          <t>outside_itemized</t>
        </is>
      </c>
      <c r="B148" s="5" t="n">
        <v>2026</v>
      </c>
      <c r="C148" s="5" t="inlineStr">
        <is>
          <t>Bob Brooks</t>
        </is>
      </c>
      <c r="D148" s="5" t="n"/>
      <c r="E148" s="5" t="inlineStr">
        <is>
          <t>Opposes</t>
        </is>
      </c>
      <c r="F148" s="5" t="inlineStr">
        <is>
          <t>Texting and phone calls</t>
        </is>
      </c>
      <c r="G148" s="5" t="inlineStr">
        <is>
          <t>KITCHEN TABLE VALUES PAC</t>
        </is>
      </c>
      <c r="H148" s="5" t="inlineStr">
        <is>
          <t>TEXTS</t>
        </is>
      </c>
      <c r="I148" s="5" t="inlineStr">
        <is>
          <t>BETHLEHEM</t>
        </is>
      </c>
      <c r="J148" s="5" t="inlineStr">
        <is>
          <t>PA</t>
        </is>
      </c>
      <c r="K148" s="33" t="n">
        <v>1700</v>
      </c>
      <c r="L148" s="34" t="n"/>
      <c r="M148" s="5" t="inlineStr">
        <is>
          <t>2026-04-29</t>
        </is>
      </c>
    </row>
    <row r="149">
      <c r="A149" s="5" t="inlineStr">
        <is>
          <t>outside_itemized</t>
        </is>
      </c>
      <c r="B149" s="5" t="n">
        <v>2026</v>
      </c>
      <c r="C149" s="5" t="inlineStr">
        <is>
          <t>Bob Brooks</t>
        </is>
      </c>
      <c r="D149" s="5" t="n"/>
      <c r="E149" s="5" t="inlineStr">
        <is>
          <t>Opposes</t>
        </is>
      </c>
      <c r="F149" s="5" t="inlineStr">
        <is>
          <t>Texting and phone calls</t>
        </is>
      </c>
      <c r="G149" s="5" t="inlineStr">
        <is>
          <t>KITCHEN TABLE VALUES PAC</t>
        </is>
      </c>
      <c r="H149" s="5" t="inlineStr">
        <is>
          <t>TEXTS</t>
        </is>
      </c>
      <c r="I149" s="5" t="inlineStr">
        <is>
          <t>BETHLEHEM</t>
        </is>
      </c>
      <c r="J149" s="5" t="inlineStr">
        <is>
          <t>PA</t>
        </is>
      </c>
      <c r="K149" s="33" t="n">
        <v>1700</v>
      </c>
      <c r="L149" s="34" t="n"/>
      <c r="M149" s="5" t="inlineStr">
        <is>
          <t>2026-04-29</t>
        </is>
      </c>
    </row>
    <row r="150">
      <c r="A150" s="5" t="inlineStr">
        <is>
          <t>outside_itemized</t>
        </is>
      </c>
      <c r="B150" s="5" t="n">
        <v>2026</v>
      </c>
      <c r="C150" s="5" t="inlineStr">
        <is>
          <t>Bob Brooks</t>
        </is>
      </c>
      <c r="D150" s="5" t="n"/>
      <c r="E150" s="5" t="inlineStr">
        <is>
          <t>Opposes</t>
        </is>
      </c>
      <c r="F150" s="5" t="inlineStr">
        <is>
          <t>Texting and phone calls</t>
        </is>
      </c>
      <c r="G150" s="5" t="inlineStr">
        <is>
          <t>KITCHEN TABLE VALUES PAC</t>
        </is>
      </c>
      <c r="H150" s="5" t="inlineStr">
        <is>
          <t>TEXTS</t>
        </is>
      </c>
      <c r="I150" s="5" t="inlineStr">
        <is>
          <t>BETHLEHEM</t>
        </is>
      </c>
      <c r="J150" s="5" t="inlineStr">
        <is>
          <t>PA</t>
        </is>
      </c>
      <c r="K150" s="33" t="n">
        <v>1700</v>
      </c>
      <c r="L150" s="34" t="n"/>
      <c r="M150" s="5" t="inlineStr">
        <is>
          <t>2026-04-16</t>
        </is>
      </c>
    </row>
    <row r="151">
      <c r="A151" s="5" t="inlineStr">
        <is>
          <t>outside_itemized</t>
        </is>
      </c>
      <c r="B151" s="5" t="n">
        <v>2026</v>
      </c>
      <c r="C151" s="5" t="inlineStr">
        <is>
          <t>Bob Brooks</t>
        </is>
      </c>
      <c r="D151" s="5" t="n"/>
      <c r="E151" s="5" t="inlineStr">
        <is>
          <t>Supports</t>
        </is>
      </c>
      <c r="F151" s="5" t="inlineStr">
        <is>
          <t>Texting and phone calls</t>
        </is>
      </c>
      <c r="G151" s="5" t="inlineStr">
        <is>
          <t>DEMOCRATIC FUTURE PAC</t>
        </is>
      </c>
      <c r="H151" s="5" t="inlineStr">
        <is>
          <t>TEXT MESSAGES</t>
        </is>
      </c>
      <c r="I151" s="5" t="inlineStr">
        <is>
          <t>DOVER</t>
        </is>
      </c>
      <c r="J151" s="5" t="inlineStr">
        <is>
          <t>DE</t>
        </is>
      </c>
      <c r="K151" s="33" t="n">
        <v>1600</v>
      </c>
      <c r="L151" s="34" t="n"/>
      <c r="M151" s="5" t="inlineStr">
        <is>
          <t>2026-04-20</t>
        </is>
      </c>
    </row>
    <row r="152">
      <c r="A152" s="5" t="inlineStr">
        <is>
          <t>outside_itemized</t>
        </is>
      </c>
      <c r="B152" s="5" t="n">
        <v>2026</v>
      </c>
      <c r="C152" s="5" t="inlineStr">
        <is>
          <t>Ryan Mackenzie</t>
        </is>
      </c>
      <c r="D152" s="5" t="n"/>
      <c r="E152" s="5" t="inlineStr">
        <is>
          <t>Opposes</t>
        </is>
      </c>
      <c r="F152" s="5" t="inlineStr">
        <is>
          <t>Mail and print</t>
        </is>
      </c>
      <c r="G152" s="5" t="inlineStr">
        <is>
          <t>RURAL FREEDOM NETWORK</t>
        </is>
      </c>
      <c r="H152" s="5" t="inlineStr">
        <is>
          <t>PRINTING</t>
        </is>
      </c>
      <c r="I152" s="5" t="inlineStr">
        <is>
          <t>CLEVELAND</t>
        </is>
      </c>
      <c r="J152" s="5" t="inlineStr">
        <is>
          <t>OH</t>
        </is>
      </c>
      <c r="K152" s="33" t="n">
        <v>1517.06</v>
      </c>
      <c r="L152" s="34" t="n"/>
      <c r="M152" s="5" t="inlineStr">
        <is>
          <t>2026-03-06</t>
        </is>
      </c>
    </row>
    <row r="153">
      <c r="A153" s="5" t="inlineStr">
        <is>
          <t>outside_itemized</t>
        </is>
      </c>
      <c r="B153" s="5" t="n">
        <v>2026</v>
      </c>
      <c r="C153" s="5" t="inlineStr">
        <is>
          <t>Bob Brooks</t>
        </is>
      </c>
      <c r="D153" s="5" t="n"/>
      <c r="E153" s="5" t="inlineStr">
        <is>
          <t>Supports</t>
        </is>
      </c>
      <c r="F153" s="5" t="inlineStr">
        <is>
          <t>Mail and print</t>
        </is>
      </c>
      <c r="G153" s="5" t="inlineStr">
        <is>
          <t>MAKE THE ROAD ACTION POLITICAL COMMITTEE</t>
        </is>
      </c>
      <c r="H153" s="5" t="inlineStr">
        <is>
          <t>DOOR LITERATURE</t>
        </is>
      </c>
      <c r="I153" s="5" t="inlineStr">
        <is>
          <t>PHILADELPHIA</t>
        </is>
      </c>
      <c r="J153" s="5" t="inlineStr">
        <is>
          <t>PA</t>
        </is>
      </c>
      <c r="K153" s="33" t="n">
        <v>1421.27</v>
      </c>
      <c r="L153" s="34" t="n"/>
      <c r="M153" s="5" t="inlineStr">
        <is>
          <t>2026-04-10</t>
        </is>
      </c>
    </row>
    <row r="154">
      <c r="A154" s="5" t="inlineStr">
        <is>
          <t>outside_itemized</t>
        </is>
      </c>
      <c r="B154" s="5" t="n">
        <v>2026</v>
      </c>
      <c r="C154" s="5" t="inlineStr">
        <is>
          <t>Ryan Mackenzie</t>
        </is>
      </c>
      <c r="D154" s="5" t="n"/>
      <c r="E154" s="5" t="inlineStr">
        <is>
          <t>Opposes</t>
        </is>
      </c>
      <c r="F154" s="5" t="inlineStr">
        <is>
          <t>Data</t>
        </is>
      </c>
      <c r="G154" s="5" t="inlineStr">
        <is>
          <t>ACTIVATE AMERICA</t>
        </is>
      </c>
      <c r="H154" s="5" t="inlineStr">
        <is>
          <t>VOTER DATA</t>
        </is>
      </c>
      <c r="I154" s="5" t="inlineStr">
        <is>
          <t>WASHINGTON</t>
        </is>
      </c>
      <c r="J154" s="5" t="inlineStr">
        <is>
          <t>DC</t>
        </is>
      </c>
      <c r="K154" s="33" t="n">
        <v>1230.12</v>
      </c>
      <c r="L154" s="34" t="n"/>
      <c r="M154" s="5" t="inlineStr">
        <is>
          <t>2025-04-14</t>
        </is>
      </c>
    </row>
    <row r="155">
      <c r="A155" s="5" t="inlineStr">
        <is>
          <t>outside_itemized</t>
        </is>
      </c>
      <c r="B155" s="5" t="n">
        <v>2026</v>
      </c>
      <c r="C155" s="5" t="inlineStr">
        <is>
          <t>Bob Brooks</t>
        </is>
      </c>
      <c r="D155" s="5" t="n"/>
      <c r="E155" s="5" t="inlineStr">
        <is>
          <t>Supports</t>
        </is>
      </c>
      <c r="F155" s="5" t="inlineStr">
        <is>
          <t>Production</t>
        </is>
      </c>
      <c r="G155" s="5" t="inlineStr">
        <is>
          <t>FF PAC</t>
        </is>
      </c>
      <c r="H155" s="5" t="inlineStr">
        <is>
          <t>AD PRODUCTION</t>
        </is>
      </c>
      <c r="I155" s="5" t="inlineStr">
        <is>
          <t>BROOKLYN</t>
        </is>
      </c>
      <c r="J155" s="5" t="inlineStr">
        <is>
          <t>NY</t>
        </is>
      </c>
      <c r="K155" s="33" t="n">
        <v>1200</v>
      </c>
      <c r="L155" s="34" t="n"/>
      <c r="M155" s="5" t="inlineStr">
        <is>
          <t>2026-05-18</t>
        </is>
      </c>
    </row>
    <row r="156">
      <c r="A156" s="5" t="inlineStr">
        <is>
          <t>outside_itemized</t>
        </is>
      </c>
      <c r="B156" s="5" t="n">
        <v>2026</v>
      </c>
      <c r="C156" s="5" t="inlineStr">
        <is>
          <t>Bob Brooks</t>
        </is>
      </c>
      <c r="D156" s="5" t="n"/>
      <c r="E156" s="5" t="inlineStr">
        <is>
          <t>Supports</t>
        </is>
      </c>
      <c r="F156" s="5" t="inlineStr">
        <is>
          <t>Texting and phone calls</t>
        </is>
      </c>
      <c r="G156" s="5" t="inlineStr">
        <is>
          <t>MAJORITY BLUE PAC</t>
        </is>
      </c>
      <c r="H156" s="5" t="inlineStr">
        <is>
          <t>TEXT MESSAGES</t>
        </is>
      </c>
      <c r="I156" s="5" t="inlineStr">
        <is>
          <t>DOVER</t>
        </is>
      </c>
      <c r="J156" s="5" t="inlineStr">
        <is>
          <t>DE</t>
        </is>
      </c>
      <c r="K156" s="33" t="n">
        <v>1175</v>
      </c>
      <c r="L156" s="34" t="n"/>
      <c r="M156" s="5" t="inlineStr">
        <is>
          <t>2026-06-22</t>
        </is>
      </c>
    </row>
    <row r="157">
      <c r="A157" s="5" t="inlineStr">
        <is>
          <t>outside_itemized</t>
        </is>
      </c>
      <c r="B157" s="5" t="n">
        <v>2026</v>
      </c>
      <c r="C157" s="5" t="inlineStr">
        <is>
          <t>Bob Brooks</t>
        </is>
      </c>
      <c r="D157" s="5" t="n"/>
      <c r="E157" s="5" t="inlineStr">
        <is>
          <t>Supports</t>
        </is>
      </c>
      <c r="F157" s="5" t="inlineStr">
        <is>
          <t>Texting and phone calls</t>
        </is>
      </c>
      <c r="G157" s="5" t="inlineStr">
        <is>
          <t>BLUE SHIFT PAC</t>
        </is>
      </c>
      <c r="H157" s="5" t="inlineStr">
        <is>
          <t>TEXT MESSAGES</t>
        </is>
      </c>
      <c r="I157" s="5" t="inlineStr">
        <is>
          <t>DOVER</t>
        </is>
      </c>
      <c r="J157" s="5" t="inlineStr">
        <is>
          <t>DE</t>
        </is>
      </c>
      <c r="K157" s="33" t="n">
        <v>1083.33</v>
      </c>
      <c r="L157" s="34" t="n"/>
      <c r="M157" s="5" t="inlineStr">
        <is>
          <t>2026-04-20</t>
        </is>
      </c>
    </row>
    <row r="158">
      <c r="A158" s="5" t="inlineStr">
        <is>
          <t>outside_itemized</t>
        </is>
      </c>
      <c r="B158" s="5" t="n">
        <v>2026</v>
      </c>
      <c r="C158" s="5" t="inlineStr">
        <is>
          <t>Bob Brooks</t>
        </is>
      </c>
      <c r="D158" s="5" t="n"/>
      <c r="E158" s="5" t="inlineStr">
        <is>
          <t>Supports</t>
        </is>
      </c>
      <c r="F158" s="5" t="inlineStr">
        <is>
          <t>Texting and phone calls</t>
        </is>
      </c>
      <c r="G158" s="5" t="inlineStr">
        <is>
          <t>BLUE DEMOCRACY NETWORK</t>
        </is>
      </c>
      <c r="H158" s="5" t="inlineStr">
        <is>
          <t>TEXT MESSAGES</t>
        </is>
      </c>
      <c r="I158" s="5" t="inlineStr">
        <is>
          <t>DOVER</t>
        </is>
      </c>
      <c r="J158" s="5" t="inlineStr">
        <is>
          <t>DE</t>
        </is>
      </c>
      <c r="K158" s="33" t="n">
        <v>1012.5</v>
      </c>
      <c r="L158" s="34" t="n"/>
      <c r="M158" s="5" t="inlineStr">
        <is>
          <t>2026-04-20</t>
        </is>
      </c>
    </row>
    <row r="159">
      <c r="A159" s="5" t="inlineStr">
        <is>
          <t>outside_itemized</t>
        </is>
      </c>
      <c r="B159" s="5" t="n">
        <v>2026</v>
      </c>
      <c r="C159" s="5" t="inlineStr">
        <is>
          <t>Bob Brooks</t>
        </is>
      </c>
      <c r="D159" s="5" t="n"/>
      <c r="E159" s="5" t="inlineStr">
        <is>
          <t>Supports</t>
        </is>
      </c>
      <c r="F159" s="5" t="inlineStr">
        <is>
          <t>Texting and phone calls</t>
        </is>
      </c>
      <c r="G159" s="5" t="inlineStr">
        <is>
          <t>DEMOCRATIC FUTURE PAC</t>
        </is>
      </c>
      <c r="H159" s="5" t="inlineStr">
        <is>
          <t>TEXT MESSAGES</t>
        </is>
      </c>
      <c r="I159" s="5" t="inlineStr">
        <is>
          <t>DOVER</t>
        </is>
      </c>
      <c r="J159" s="5" t="inlineStr">
        <is>
          <t>DE</t>
        </is>
      </c>
      <c r="K159" s="33" t="n">
        <v>1000</v>
      </c>
      <c r="L159" s="34" t="n"/>
      <c r="M159" s="5" t="inlineStr">
        <is>
          <t>2026-04-20</t>
        </is>
      </c>
    </row>
    <row r="160">
      <c r="A160" s="5" t="inlineStr">
        <is>
          <t>outside_itemized</t>
        </is>
      </c>
      <c r="B160" s="5" t="n">
        <v>2026</v>
      </c>
      <c r="C160" s="5" t="inlineStr">
        <is>
          <t>Bob Brooks</t>
        </is>
      </c>
      <c r="D160" s="5" t="n"/>
      <c r="E160" s="5" t="inlineStr">
        <is>
          <t>Supports</t>
        </is>
      </c>
      <c r="F160" s="5" t="inlineStr">
        <is>
          <t>Texting and phone calls</t>
        </is>
      </c>
      <c r="G160" s="5" t="inlineStr">
        <is>
          <t>SEIU COPE (SERVICE EMPLOYEES INTERNATIONAL UNION COMMITTEE ON POLITICAL EDUCATION)</t>
        </is>
      </c>
      <c r="H160" s="5" t="inlineStr">
        <is>
          <t>PAYMENT FOR TEXTING AS DISCLOSED ON 6/20 MONTHLY REPORT</t>
        </is>
      </c>
      <c r="I160" s="5" t="inlineStr">
        <is>
          <t>SANTA ANA</t>
        </is>
      </c>
      <c r="J160" s="5" t="inlineStr">
        <is>
          <t>CA</t>
        </is>
      </c>
      <c r="K160" s="33" t="n">
        <v>907.6799999999999</v>
      </c>
      <c r="L160" s="34" t="n"/>
      <c r="M160" s="5" t="inlineStr">
        <is>
          <t>2026-08-13</t>
        </is>
      </c>
    </row>
    <row r="161">
      <c r="A161" s="5" t="inlineStr">
        <is>
          <t>outside_itemized</t>
        </is>
      </c>
      <c r="B161" s="5" t="n">
        <v>2026</v>
      </c>
      <c r="C161" s="5" t="inlineStr">
        <is>
          <t>Bob Brooks</t>
        </is>
      </c>
      <c r="D161" s="5" t="n"/>
      <c r="E161" s="5" t="inlineStr">
        <is>
          <t>Supports</t>
        </is>
      </c>
      <c r="F161" s="5" t="inlineStr">
        <is>
          <t>Texting and phone calls</t>
        </is>
      </c>
      <c r="G161" s="5" t="inlineStr">
        <is>
          <t>BLUE MAJORITY PROJECT</t>
        </is>
      </c>
      <c r="H161" s="5" t="inlineStr">
        <is>
          <t>TEXT MESSAGES</t>
        </is>
      </c>
      <c r="I161" s="5" t="inlineStr">
        <is>
          <t>DOVER</t>
        </is>
      </c>
      <c r="J161" s="5" t="inlineStr">
        <is>
          <t>DE</t>
        </is>
      </c>
      <c r="K161" s="33" t="n">
        <v>883.34</v>
      </c>
      <c r="L161" s="34" t="n"/>
      <c r="M161" s="5" t="inlineStr">
        <is>
          <t>2026-02-09</t>
        </is>
      </c>
    </row>
    <row r="162">
      <c r="A162" s="5" t="inlineStr">
        <is>
          <t>outside_itemized</t>
        </is>
      </c>
      <c r="B162" s="5" t="n">
        <v>2026</v>
      </c>
      <c r="C162" s="5" t="inlineStr">
        <is>
          <t>Ryan Mackenzie</t>
        </is>
      </c>
      <c r="D162" s="5" t="n"/>
      <c r="E162" s="5" t="inlineStr">
        <is>
          <t>Opposes</t>
        </is>
      </c>
      <c r="F162" s="5" t="inlineStr">
        <is>
          <t>Texting and phone calls</t>
        </is>
      </c>
      <c r="G162" s="5" t="inlineStr">
        <is>
          <t>FIELD TEAM 6, INC.</t>
        </is>
      </c>
      <c r="H162" s="5" t="inlineStr">
        <is>
          <t>SMS TEXTING</t>
        </is>
      </c>
      <c r="I162" s="5" t="inlineStr">
        <is>
          <t>LOS ANGELES</t>
        </is>
      </c>
      <c r="J162" s="5" t="inlineStr">
        <is>
          <t>CA</t>
        </is>
      </c>
      <c r="K162" s="33" t="n">
        <v>859.88</v>
      </c>
      <c r="L162" s="34" t="n"/>
      <c r="M162" s="5" t="inlineStr">
        <is>
          <t>2026-03-05</t>
        </is>
      </c>
    </row>
    <row r="163">
      <c r="A163" s="5" t="inlineStr">
        <is>
          <t>outside_itemized</t>
        </is>
      </c>
      <c r="B163" s="5" t="n">
        <v>2026</v>
      </c>
      <c r="C163" s="5" t="inlineStr">
        <is>
          <t>Bob Brooks</t>
        </is>
      </c>
      <c r="D163" s="5" t="n"/>
      <c r="E163" s="5" t="inlineStr">
        <is>
          <t>Supports</t>
        </is>
      </c>
      <c r="F163" s="5" t="inlineStr">
        <is>
          <t>Canvassing and field</t>
        </is>
      </c>
      <c r="G163" s="5" t="inlineStr">
        <is>
          <t>MAKE THE ROAD ACTION POLITICAL COMMITTEE</t>
        </is>
      </c>
      <c r="H163" s="5" t="inlineStr">
        <is>
          <t>CANVASSING SERVICES (CORRESPONDING MEMO ON 24/48 CAN NOT BE DELETED IN FECFILE)</t>
        </is>
      </c>
      <c r="I163" s="5" t="inlineStr">
        <is>
          <t>BROOKLYN</t>
        </is>
      </c>
      <c r="J163" s="5" t="inlineStr">
        <is>
          <t>NY</t>
        </is>
      </c>
      <c r="K163" s="33" t="n">
        <v>735</v>
      </c>
      <c r="L163" s="34" t="n"/>
      <c r="M163" s="5" t="inlineStr">
        <is>
          <t>2026-04-30</t>
        </is>
      </c>
    </row>
    <row r="164">
      <c r="A164" s="5" t="inlineStr">
        <is>
          <t>outside_itemized</t>
        </is>
      </c>
      <c r="B164" s="5" t="n">
        <v>2026</v>
      </c>
      <c r="C164" s="5" t="inlineStr">
        <is>
          <t>Bob Brooks</t>
        </is>
      </c>
      <c r="D164" s="5" t="n"/>
      <c r="E164" s="5" t="inlineStr">
        <is>
          <t>Supports</t>
        </is>
      </c>
      <c r="F164" s="5" t="inlineStr">
        <is>
          <t>Canvassing and field</t>
        </is>
      </c>
      <c r="G164" s="5" t="inlineStr">
        <is>
          <t>MAKE THE ROAD ACTION POLITICAL COMMITTEE</t>
        </is>
      </c>
      <c r="H164" s="5" t="inlineStr">
        <is>
          <t>CANVASSING SERVICES (CORRESPONDING MEMO ON 24/48 CAN NOT BE DELETED IN FECFILE)</t>
        </is>
      </c>
      <c r="I164" s="5" t="inlineStr">
        <is>
          <t>BROOKLYN</t>
        </is>
      </c>
      <c r="J164" s="5" t="inlineStr">
        <is>
          <t>NY</t>
        </is>
      </c>
      <c r="K164" s="33" t="n">
        <v>682</v>
      </c>
      <c r="L164" s="34" t="n"/>
      <c r="M164" s="5" t="inlineStr">
        <is>
          <t>2026-06-01</t>
        </is>
      </c>
    </row>
    <row r="165">
      <c r="A165" s="5" t="inlineStr">
        <is>
          <t>outside_itemized</t>
        </is>
      </c>
      <c r="B165" s="5" t="n">
        <v>2026</v>
      </c>
      <c r="C165" s="5" t="inlineStr">
        <is>
          <t>Bob Brooks</t>
        </is>
      </c>
      <c r="D165" s="5" t="n"/>
      <c r="E165" s="5" t="inlineStr">
        <is>
          <t>Supports</t>
        </is>
      </c>
      <c r="F165" s="5" t="inlineStr">
        <is>
          <t>Texting and phone calls</t>
        </is>
      </c>
      <c r="G165" s="5" t="inlineStr">
        <is>
          <t>BLUE MAJORITY MAKERS PAC</t>
        </is>
      </c>
      <c r="H165" s="5" t="inlineStr">
        <is>
          <t>TEXT MESSAGES</t>
        </is>
      </c>
      <c r="I165" s="5" t="inlineStr">
        <is>
          <t>DOVER</t>
        </is>
      </c>
      <c r="J165" s="5" t="inlineStr">
        <is>
          <t>DE</t>
        </is>
      </c>
      <c r="K165" s="33" t="n">
        <v>666.66</v>
      </c>
      <c r="L165" s="34" t="n"/>
      <c r="M165" s="5" t="inlineStr">
        <is>
          <t>2026-06-22</t>
        </is>
      </c>
    </row>
    <row r="166">
      <c r="A166" s="5" t="inlineStr">
        <is>
          <t>outside_itemized</t>
        </is>
      </c>
      <c r="B166" s="5" t="n">
        <v>2026</v>
      </c>
      <c r="C166" s="5" t="inlineStr">
        <is>
          <t>Bob Brooks</t>
        </is>
      </c>
      <c r="D166" s="5" t="n"/>
      <c r="E166" s="5" t="inlineStr">
        <is>
          <t>Supports</t>
        </is>
      </c>
      <c r="F166" s="5" t="inlineStr">
        <is>
          <t>Texting and phone calls</t>
        </is>
      </c>
      <c r="G166" s="5" t="inlineStr">
        <is>
          <t>FIELD TEAM 6, INC.</t>
        </is>
      </c>
      <c r="H166" s="5" t="inlineStr">
        <is>
          <t>SMS TEXTING</t>
        </is>
      </c>
      <c r="I166" s="5" t="inlineStr">
        <is>
          <t>LOS ANGELES</t>
        </is>
      </c>
      <c r="J166" s="5" t="inlineStr">
        <is>
          <t>CA</t>
        </is>
      </c>
      <c r="K166" s="33" t="n">
        <v>638.3</v>
      </c>
      <c r="L166" s="34" t="n"/>
      <c r="M166" s="5" t="inlineStr">
        <is>
          <t>2026-06-24</t>
        </is>
      </c>
    </row>
    <row r="167">
      <c r="A167" s="5" t="inlineStr">
        <is>
          <t>outside_itemized</t>
        </is>
      </c>
      <c r="B167" s="5" t="n">
        <v>2026</v>
      </c>
      <c r="C167" s="5" t="inlineStr">
        <is>
          <t>Bob Brooks</t>
        </is>
      </c>
      <c r="D167" s="5" t="n"/>
      <c r="E167" s="5" t="inlineStr">
        <is>
          <t>Supports</t>
        </is>
      </c>
      <c r="F167" s="5" t="inlineStr">
        <is>
          <t>Texting and phone calls</t>
        </is>
      </c>
      <c r="G167" s="5" t="inlineStr">
        <is>
          <t>PEOPLE'S ACTION POWER</t>
        </is>
      </c>
      <c r="H167" s="5" t="inlineStr">
        <is>
          <t>NON-CONTRIBUTION ACCOUNT: TEXT MESSAGING</t>
        </is>
      </c>
      <c r="I167" s="5" t="inlineStr">
        <is>
          <t>SANTA ANA</t>
        </is>
      </c>
      <c r="J167" s="5" t="inlineStr">
        <is>
          <t>CA</t>
        </is>
      </c>
      <c r="K167" s="33" t="n">
        <v>530.05</v>
      </c>
      <c r="L167" s="34" t="n"/>
      <c r="M167" s="5" t="inlineStr">
        <is>
          <t>2026-08-07</t>
        </is>
      </c>
    </row>
    <row r="168">
      <c r="A168" s="5" t="inlineStr">
        <is>
          <t>outside_itemized</t>
        </is>
      </c>
      <c r="B168" s="5" t="n">
        <v>2026</v>
      </c>
      <c r="C168" s="5" t="inlineStr">
        <is>
          <t>Bob Brooks</t>
        </is>
      </c>
      <c r="D168" s="5" t="n"/>
      <c r="E168" s="5" t="inlineStr">
        <is>
          <t>Supports</t>
        </is>
      </c>
      <c r="F168" s="5" t="inlineStr">
        <is>
          <t>Texting and phone calls</t>
        </is>
      </c>
      <c r="G168" s="5" t="inlineStr">
        <is>
          <t>FIELD TEAM 6, INC.</t>
        </is>
      </c>
      <c r="H168" s="5" t="inlineStr">
        <is>
          <t>SMS TEXTING</t>
        </is>
      </c>
      <c r="I168" s="5" t="inlineStr">
        <is>
          <t>LOS ANGELES</t>
        </is>
      </c>
      <c r="J168" s="5" t="inlineStr">
        <is>
          <t>CA</t>
        </is>
      </c>
      <c r="K168" s="33" t="n">
        <v>366.83</v>
      </c>
      <c r="L168" s="34" t="n"/>
      <c r="M168" s="5" t="inlineStr">
        <is>
          <t>2026-08-05</t>
        </is>
      </c>
    </row>
    <row r="169">
      <c r="A169" s="5" t="inlineStr">
        <is>
          <t>outside_itemized</t>
        </is>
      </c>
      <c r="B169" s="5" t="n">
        <v>2026</v>
      </c>
      <c r="C169" s="5" t="inlineStr">
        <is>
          <t>Ryan Mackenzie</t>
        </is>
      </c>
      <c r="D169" s="5" t="n"/>
      <c r="E169" s="5" t="inlineStr">
        <is>
          <t>Opposes</t>
        </is>
      </c>
      <c r="F169" s="5" t="inlineStr">
        <is>
          <t>Digital advertising</t>
        </is>
      </c>
      <c r="G169" s="5" t="inlineStr">
        <is>
          <t>INDIGO PAC</t>
        </is>
      </c>
      <c r="H169" s="5" t="inlineStr">
        <is>
          <t>DIGITAL ADVERTISING</t>
        </is>
      </c>
      <c r="I169" s="5" t="inlineStr">
        <is>
          <t>MENLO PARK</t>
        </is>
      </c>
      <c r="J169" s="5" t="inlineStr">
        <is>
          <t>CA</t>
        </is>
      </c>
      <c r="K169" s="33" t="n">
        <v>346</v>
      </c>
      <c r="L169" s="34" t="n"/>
      <c r="M169" s="5" t="inlineStr">
        <is>
          <t>2025-10-20</t>
        </is>
      </c>
    </row>
    <row r="170">
      <c r="A170" s="5" t="inlineStr">
        <is>
          <t>outside_itemized</t>
        </is>
      </c>
      <c r="B170" s="5" t="n">
        <v>2026</v>
      </c>
      <c r="C170" s="5" t="inlineStr">
        <is>
          <t>Ryan Mackenzie</t>
        </is>
      </c>
      <c r="D170" s="5" t="n"/>
      <c r="E170" s="5" t="inlineStr">
        <is>
          <t>Opposes</t>
        </is>
      </c>
      <c r="F170" s="5" t="inlineStr">
        <is>
          <t>Digital advertising</t>
        </is>
      </c>
      <c r="G170" s="5" t="inlineStr">
        <is>
          <t>INDIGO PAC</t>
        </is>
      </c>
      <c r="H170" s="5" t="inlineStr">
        <is>
          <t>DIGITAL ADVERTISING</t>
        </is>
      </c>
      <c r="I170" s="5" t="inlineStr">
        <is>
          <t>MENLO PARK</t>
        </is>
      </c>
      <c r="J170" s="5" t="inlineStr">
        <is>
          <t>CA</t>
        </is>
      </c>
      <c r="K170" s="33" t="n">
        <v>304.22</v>
      </c>
      <c r="L170" s="34" t="n"/>
      <c r="M170" s="5" t="inlineStr">
        <is>
          <t>2025-11-03</t>
        </is>
      </c>
    </row>
    <row r="171">
      <c r="A171" s="5" t="inlineStr">
        <is>
          <t>outside_itemized</t>
        </is>
      </c>
      <c r="B171" s="5" t="n">
        <v>2026</v>
      </c>
      <c r="C171" s="5" t="inlineStr">
        <is>
          <t>Ryan Mackenzie</t>
        </is>
      </c>
      <c r="D171" s="5" t="n"/>
      <c r="E171" s="5" t="inlineStr">
        <is>
          <t>Opposes</t>
        </is>
      </c>
      <c r="F171" s="5" t="inlineStr">
        <is>
          <t>Digital advertising</t>
        </is>
      </c>
      <c r="G171" s="5" t="inlineStr">
        <is>
          <t>INDIGO PAC</t>
        </is>
      </c>
      <c r="H171" s="5" t="inlineStr">
        <is>
          <t>DIGITAL ADVERTISING</t>
        </is>
      </c>
      <c r="I171" s="5" t="inlineStr">
        <is>
          <t>MENLO PARK</t>
        </is>
      </c>
      <c r="J171" s="5" t="inlineStr">
        <is>
          <t>CA</t>
        </is>
      </c>
      <c r="K171" s="33" t="n">
        <v>284</v>
      </c>
      <c r="L171" s="34" t="n"/>
      <c r="M171" s="5" t="inlineStr">
        <is>
          <t>2025-10-14</t>
        </is>
      </c>
    </row>
    <row r="172">
      <c r="A172" s="5" t="inlineStr">
        <is>
          <t>outside_itemized</t>
        </is>
      </c>
      <c r="B172" s="5" t="n">
        <v>2026</v>
      </c>
      <c r="C172" s="5" t="inlineStr">
        <is>
          <t>Ryan Mackenzie</t>
        </is>
      </c>
      <c r="D172" s="5" t="n"/>
      <c r="E172" s="5" t="inlineStr">
        <is>
          <t>Opposes</t>
        </is>
      </c>
      <c r="F172" s="5" t="inlineStr">
        <is>
          <t>Texting and phone calls</t>
        </is>
      </c>
      <c r="G172" s="5" t="inlineStr">
        <is>
          <t>ACTIVATE AMERICA</t>
        </is>
      </c>
      <c r="H172" s="5" t="inlineStr">
        <is>
          <t>TEXT BANK</t>
        </is>
      </c>
      <c r="I172" s="5" t="inlineStr">
        <is>
          <t>SANTA ANA</t>
        </is>
      </c>
      <c r="J172" s="5" t="inlineStr">
        <is>
          <t>CA</t>
        </is>
      </c>
      <c r="K172" s="33" t="n">
        <v>250.82</v>
      </c>
      <c r="L172" s="34" t="n"/>
      <c r="M172" s="5" t="inlineStr">
        <is>
          <t>2025-05-16</t>
        </is>
      </c>
    </row>
    <row r="173">
      <c r="A173" s="5" t="inlineStr">
        <is>
          <t>outside_itemized</t>
        </is>
      </c>
      <c r="B173" s="5" t="n">
        <v>2026</v>
      </c>
      <c r="C173" s="5" t="inlineStr">
        <is>
          <t>Ryan Mackenzie</t>
        </is>
      </c>
      <c r="D173" s="5" t="n"/>
      <c r="E173" s="5" t="inlineStr">
        <is>
          <t>Opposes</t>
        </is>
      </c>
      <c r="F173" s="5" t="inlineStr">
        <is>
          <t>Digital advertising</t>
        </is>
      </c>
      <c r="G173" s="5" t="inlineStr">
        <is>
          <t>INDIGO PAC</t>
        </is>
      </c>
      <c r="H173" s="5" t="inlineStr">
        <is>
          <t>DIGITAL ADVERTISING</t>
        </is>
      </c>
      <c r="I173" s="5" t="inlineStr">
        <is>
          <t>MENLO PARK</t>
        </is>
      </c>
      <c r="J173" s="5" t="inlineStr">
        <is>
          <t>CA</t>
        </is>
      </c>
      <c r="K173" s="33" t="n">
        <v>243</v>
      </c>
      <c r="L173" s="34" t="n"/>
      <c r="M173" s="5" t="inlineStr">
        <is>
          <t>2025-10-07</t>
        </is>
      </c>
    </row>
    <row r="174">
      <c r="A174" s="5" t="inlineStr">
        <is>
          <t>outside_itemized</t>
        </is>
      </c>
      <c r="B174" s="5" t="n">
        <v>2026</v>
      </c>
      <c r="C174" s="5" t="inlineStr">
        <is>
          <t>Ryan Mackenzie</t>
        </is>
      </c>
      <c r="D174" s="5" t="n"/>
      <c r="E174" s="5" t="inlineStr">
        <is>
          <t>Opposes</t>
        </is>
      </c>
      <c r="F174" s="5" t="inlineStr">
        <is>
          <t>Texting and phone calls</t>
        </is>
      </c>
      <c r="G174" s="5" t="inlineStr">
        <is>
          <t>FIELD TEAM 6, INC.</t>
        </is>
      </c>
      <c r="H174" s="5" t="inlineStr">
        <is>
          <t>SMS TEXTING</t>
        </is>
      </c>
      <c r="I174" s="5" t="inlineStr">
        <is>
          <t>LOS ANGELES</t>
        </is>
      </c>
      <c r="J174" s="5" t="inlineStr">
        <is>
          <t>CA</t>
        </is>
      </c>
      <c r="K174" s="33" t="n">
        <v>236.81</v>
      </c>
      <c r="L174" s="34" t="n"/>
      <c r="M174" s="5" t="inlineStr">
        <is>
          <t>2026-02-04</t>
        </is>
      </c>
    </row>
    <row r="175">
      <c r="A175" s="5" t="inlineStr">
        <is>
          <t>outside_itemized</t>
        </is>
      </c>
      <c r="B175" s="5" t="n">
        <v>2026</v>
      </c>
      <c r="C175" s="5" t="inlineStr">
        <is>
          <t>Bob Brooks</t>
        </is>
      </c>
      <c r="D175" s="5" t="n"/>
      <c r="E175" s="5" t="inlineStr">
        <is>
          <t>Supports</t>
        </is>
      </c>
      <c r="F175" s="5" t="inlineStr">
        <is>
          <t>Texting and phone calls</t>
        </is>
      </c>
      <c r="G175" s="5" t="inlineStr">
        <is>
          <t>SEIU COPE (SERVICE EMPLOYEES INTERNATIONAL UNION COMMITTEE ON POLITICAL EDUCATION)</t>
        </is>
      </c>
      <c r="H175" s="5" t="inlineStr">
        <is>
          <t>PAYMENT FOR TEXTING AS DISCLOSED ON 6/20 MONTHLY REPORT</t>
        </is>
      </c>
      <c r="I175" s="5" t="inlineStr">
        <is>
          <t>SANTA ANA</t>
        </is>
      </c>
      <c r="J175" s="5" t="inlineStr">
        <is>
          <t>CA</t>
        </is>
      </c>
      <c r="K175" s="33" t="n">
        <v>231.9</v>
      </c>
      <c r="L175" s="34" t="n"/>
      <c r="M175" s="5" t="inlineStr">
        <is>
          <t>2026-08-13</t>
        </is>
      </c>
    </row>
    <row r="176">
      <c r="A176" s="5" t="inlineStr">
        <is>
          <t>outside_itemized</t>
        </is>
      </c>
      <c r="B176" s="5" t="n">
        <v>2026</v>
      </c>
      <c r="C176" s="5" t="inlineStr">
        <is>
          <t>Bob Brooks</t>
        </is>
      </c>
      <c r="D176" s="5" t="n"/>
      <c r="E176" s="5" t="inlineStr">
        <is>
          <t>Supports</t>
        </is>
      </c>
      <c r="F176" s="5" t="inlineStr">
        <is>
          <t>Digital advertising</t>
        </is>
      </c>
      <c r="G176" s="5" t="inlineStr">
        <is>
          <t>SENIORS EMPOWERING AN EFFECTIVE DEMOCRACY (SEED-PAC)</t>
        </is>
      </c>
      <c r="H176" s="5" t="inlineStr">
        <is>
          <t>AD FACEBOOK</t>
        </is>
      </c>
      <c r="I176" s="5" t="inlineStr">
        <is>
          <t>WAYNE</t>
        </is>
      </c>
      <c r="J176" s="5" t="inlineStr">
        <is>
          <t>PA</t>
        </is>
      </c>
      <c r="K176" s="33" t="n">
        <v>200</v>
      </c>
      <c r="L176" s="34" t="n"/>
      <c r="M176" s="5" t="inlineStr">
        <is>
          <t>2026-09-21</t>
        </is>
      </c>
    </row>
    <row r="177">
      <c r="A177" s="5" t="inlineStr">
        <is>
          <t>outside_itemized</t>
        </is>
      </c>
      <c r="B177" s="5" t="n">
        <v>2026</v>
      </c>
      <c r="C177" s="5" t="inlineStr">
        <is>
          <t>Ryan Mackenzie</t>
        </is>
      </c>
      <c r="D177" s="5" t="n"/>
      <c r="E177" s="5" t="inlineStr">
        <is>
          <t>Opposes</t>
        </is>
      </c>
      <c r="F177" s="5" t="inlineStr">
        <is>
          <t>Digital advertising</t>
        </is>
      </c>
      <c r="G177" s="5" t="inlineStr">
        <is>
          <t>INDIGO PAC</t>
        </is>
      </c>
      <c r="H177" s="5" t="inlineStr">
        <is>
          <t>DIGITAL ADVERTISING</t>
        </is>
      </c>
      <c r="I177" s="5" t="inlineStr">
        <is>
          <t>MENLO PARK</t>
        </is>
      </c>
      <c r="J177" s="5" t="inlineStr">
        <is>
          <t>CA</t>
        </is>
      </c>
      <c r="K177" s="33" t="n">
        <v>194.64</v>
      </c>
      <c r="L177" s="34" t="n"/>
      <c r="M177" s="5" t="inlineStr">
        <is>
          <t>2025-10-27</t>
        </is>
      </c>
    </row>
    <row r="178">
      <c r="A178" s="5" t="inlineStr">
        <is>
          <t>outside_itemized</t>
        </is>
      </c>
      <c r="B178" s="5" t="n">
        <v>2026</v>
      </c>
      <c r="C178" s="5" t="inlineStr">
        <is>
          <t>Bob Brooks</t>
        </is>
      </c>
      <c r="D178" s="5" t="n"/>
      <c r="E178" s="5" t="inlineStr">
        <is>
          <t>Supports</t>
        </is>
      </c>
      <c r="F178" s="5" t="inlineStr">
        <is>
          <t>Texting and phone calls</t>
        </is>
      </c>
      <c r="G178" s="5" t="inlineStr">
        <is>
          <t>SURJ PAC</t>
        </is>
      </c>
      <c r="H178" s="5" t="inlineStr">
        <is>
          <t>STAFF TIME: PHONE BANKING - NON-CONTRIBUTION ACCOUNT</t>
        </is>
      </c>
      <c r="I178" s="5" t="inlineStr">
        <is>
          <t>ATLANTA</t>
        </is>
      </c>
      <c r="J178" s="5" t="inlineStr">
        <is>
          <t>GA</t>
        </is>
      </c>
      <c r="K178" s="33" t="n">
        <v>187.51</v>
      </c>
      <c r="L178" s="34" t="n"/>
      <c r="M178" s="5" t="inlineStr">
        <is>
          <t>2026-05-29</t>
        </is>
      </c>
    </row>
    <row r="179">
      <c r="A179" s="5" t="inlineStr">
        <is>
          <t>outside_itemized</t>
        </is>
      </c>
      <c r="B179" s="5" t="n">
        <v>2026</v>
      </c>
      <c r="C179" s="5" t="inlineStr">
        <is>
          <t>Bob Brooks</t>
        </is>
      </c>
      <c r="D179" s="5" t="n"/>
      <c r="E179" s="5" t="inlineStr">
        <is>
          <t>Supports</t>
        </is>
      </c>
      <c r="F179" s="5" t="inlineStr">
        <is>
          <t>Mail and print</t>
        </is>
      </c>
      <c r="G179" s="5" t="inlineStr">
        <is>
          <t>RURAL FREEDOM NETWORK</t>
        </is>
      </c>
      <c r="H179" s="5" t="inlineStr">
        <is>
          <t>PRINTING</t>
        </is>
      </c>
      <c r="I179" s="5" t="inlineStr">
        <is>
          <t>CLEVELAND</t>
        </is>
      </c>
      <c r="J179" s="5" t="inlineStr">
        <is>
          <t>OH</t>
        </is>
      </c>
      <c r="K179" s="33" t="n">
        <v>157.07</v>
      </c>
      <c r="L179" s="34" t="n"/>
      <c r="M179" s="5" t="inlineStr">
        <is>
          <t>2026-06-18</t>
        </is>
      </c>
    </row>
    <row r="180">
      <c r="A180" s="5" t="inlineStr">
        <is>
          <t>outside_itemized</t>
        </is>
      </c>
      <c r="B180" s="5" t="n">
        <v>2026</v>
      </c>
      <c r="C180" s="5" t="inlineStr">
        <is>
          <t>Ryan Mackenzie</t>
        </is>
      </c>
      <c r="D180" s="5" t="n"/>
      <c r="E180" s="5" t="inlineStr">
        <is>
          <t>Opposes</t>
        </is>
      </c>
      <c r="F180" s="5" t="inlineStr">
        <is>
          <t>Digital advertising</t>
        </is>
      </c>
      <c r="G180" s="5" t="inlineStr">
        <is>
          <t>INDIGO PAC</t>
        </is>
      </c>
      <c r="H180" s="5" t="inlineStr">
        <is>
          <t>DIGITAL ADVERTISING</t>
        </is>
      </c>
      <c r="I180" s="5" t="inlineStr">
        <is>
          <t>MENLO PARK</t>
        </is>
      </c>
      <c r="J180" s="5" t="inlineStr">
        <is>
          <t>CA</t>
        </is>
      </c>
      <c r="K180" s="33" t="n">
        <v>156</v>
      </c>
      <c r="L180" s="34" t="n"/>
      <c r="M180" s="5" t="inlineStr">
        <is>
          <t>2025-09-29</t>
        </is>
      </c>
    </row>
    <row r="181">
      <c r="A181" s="5" t="inlineStr">
        <is>
          <t>outside_itemized</t>
        </is>
      </c>
      <c r="B181" s="5" t="n">
        <v>2026</v>
      </c>
      <c r="C181" s="5" t="inlineStr">
        <is>
          <t>Bob Brooks</t>
        </is>
      </c>
      <c r="D181" s="5" t="n"/>
      <c r="E181" s="5" t="inlineStr">
        <is>
          <t>Supports</t>
        </is>
      </c>
      <c r="F181" s="5" t="inlineStr">
        <is>
          <t>Mail and print</t>
        </is>
      </c>
      <c r="G181" s="5" t="inlineStr">
        <is>
          <t>RURAL FREEDOM NETWORK</t>
        </is>
      </c>
      <c r="H181" s="5" t="inlineStr">
        <is>
          <t>PRINTING</t>
        </is>
      </c>
      <c r="I181" s="5" t="inlineStr">
        <is>
          <t>CLEVELAND</t>
        </is>
      </c>
      <c r="J181" s="5" t="inlineStr">
        <is>
          <t>OH</t>
        </is>
      </c>
      <c r="K181" s="33" t="n">
        <v>151.88</v>
      </c>
      <c r="L181" s="34" t="n"/>
      <c r="M181" s="5" t="inlineStr">
        <is>
          <t>2026-07-13</t>
        </is>
      </c>
    </row>
    <row r="182">
      <c r="A182" s="5" t="inlineStr">
        <is>
          <t>outside_itemized</t>
        </is>
      </c>
      <c r="B182" s="5" t="n">
        <v>2026</v>
      </c>
      <c r="C182" s="5" t="inlineStr">
        <is>
          <t>Ryan Mackenzie</t>
        </is>
      </c>
      <c r="D182" s="5" t="n"/>
      <c r="E182" s="5" t="inlineStr">
        <is>
          <t>Opposes</t>
        </is>
      </c>
      <c r="F182" s="5" t="inlineStr">
        <is>
          <t>Digital advertising</t>
        </is>
      </c>
      <c r="G182" s="5" t="inlineStr">
        <is>
          <t>INDIGO PAC</t>
        </is>
      </c>
      <c r="H182" s="5" t="inlineStr">
        <is>
          <t>DIGITAL ADVERTISING</t>
        </is>
      </c>
      <c r="I182" s="5" t="inlineStr">
        <is>
          <t>MENLO PARK</t>
        </is>
      </c>
      <c r="J182" s="5" t="inlineStr">
        <is>
          <t>CA</t>
        </is>
      </c>
      <c r="K182" s="33" t="n">
        <v>137.49</v>
      </c>
      <c r="L182" s="34" t="n"/>
      <c r="M182" s="5" t="inlineStr">
        <is>
          <t>2025-09-29</t>
        </is>
      </c>
    </row>
    <row r="183">
      <c r="A183" s="5" t="inlineStr">
        <is>
          <t>outside_itemized</t>
        </is>
      </c>
      <c r="B183" s="5" t="n">
        <v>2026</v>
      </c>
      <c r="C183" s="5" t="inlineStr">
        <is>
          <t>Bob Brooks</t>
        </is>
      </c>
      <c r="D183" s="5" t="n"/>
      <c r="E183" s="5" t="inlineStr">
        <is>
          <t>Supports</t>
        </is>
      </c>
      <c r="F183" s="5" t="inlineStr">
        <is>
          <t>Email</t>
        </is>
      </c>
      <c r="G183" s="5" t="inlineStr">
        <is>
          <t>FIELD TEAM 6, INC.</t>
        </is>
      </c>
      <c r="H183" s="5" t="inlineStr">
        <is>
          <t>EMAIL SERVICES</t>
        </is>
      </c>
      <c r="I183" s="5" t="inlineStr">
        <is>
          <t>LOS ANGELES</t>
        </is>
      </c>
      <c r="J183" s="5" t="inlineStr">
        <is>
          <t>CA</t>
        </is>
      </c>
      <c r="K183" s="33" t="n">
        <v>125.76</v>
      </c>
      <c r="L183" s="34" t="n"/>
      <c r="M183" s="5" t="inlineStr">
        <is>
          <t>2026-08-05</t>
        </is>
      </c>
    </row>
    <row r="184">
      <c r="A184" s="5" t="inlineStr">
        <is>
          <t>outside_itemized</t>
        </is>
      </c>
      <c r="B184" s="5" t="n">
        <v>2026</v>
      </c>
      <c r="C184" s="5" t="inlineStr">
        <is>
          <t>Ryan Mackenzie</t>
        </is>
      </c>
      <c r="D184" s="5" t="n"/>
      <c r="E184" s="5" t="inlineStr">
        <is>
          <t>Opposes</t>
        </is>
      </c>
      <c r="F184" s="5" t="inlineStr">
        <is>
          <t>Texting and phone calls</t>
        </is>
      </c>
      <c r="G184" s="5" t="inlineStr">
        <is>
          <t>ACTIVATE AMERICA</t>
        </is>
      </c>
      <c r="H184" s="5" t="inlineStr">
        <is>
          <t>TEXT BANK</t>
        </is>
      </c>
      <c r="I184" s="5" t="inlineStr">
        <is>
          <t>SANTA ANA</t>
        </is>
      </c>
      <c r="J184" s="5" t="inlineStr">
        <is>
          <t>CA</t>
        </is>
      </c>
      <c r="K184" s="33" t="n">
        <v>124.9</v>
      </c>
      <c r="L184" s="34" t="n"/>
      <c r="M184" s="5" t="inlineStr">
        <is>
          <t>2025-06-12</t>
        </is>
      </c>
    </row>
    <row r="185">
      <c r="A185" s="5" t="inlineStr">
        <is>
          <t>outside_itemized</t>
        </is>
      </c>
      <c r="B185" s="5" t="n">
        <v>2026</v>
      </c>
      <c r="C185" s="5" t="inlineStr">
        <is>
          <t>Bob Brooks</t>
        </is>
      </c>
      <c r="D185" s="5" t="n"/>
      <c r="E185" s="5" t="inlineStr">
        <is>
          <t>Supports</t>
        </is>
      </c>
      <c r="F185" s="5" t="inlineStr">
        <is>
          <t>Texting and phone calls</t>
        </is>
      </c>
      <c r="G185" s="5" t="inlineStr">
        <is>
          <t>BLUE MAJORITY MAKERS PAC</t>
        </is>
      </c>
      <c r="H185" s="5" t="inlineStr">
        <is>
          <t>TEXT MESSAGES</t>
        </is>
      </c>
      <c r="I185" s="5" t="inlineStr">
        <is>
          <t>DOVER</t>
        </is>
      </c>
      <c r="J185" s="5" t="inlineStr">
        <is>
          <t>DE</t>
        </is>
      </c>
      <c r="K185" s="33" t="n">
        <v>100</v>
      </c>
      <c r="L185" s="34" t="n"/>
      <c r="M185" s="5" t="inlineStr">
        <is>
          <t>2026-06-22</t>
        </is>
      </c>
    </row>
    <row r="186">
      <c r="A186" s="5" t="inlineStr">
        <is>
          <t>outside_itemized</t>
        </is>
      </c>
      <c r="B186" s="5" t="n">
        <v>2026</v>
      </c>
      <c r="C186" s="5" t="inlineStr">
        <is>
          <t>Ryan Mackenzie</t>
        </is>
      </c>
      <c r="D186" s="5" t="n"/>
      <c r="E186" s="5" t="inlineStr">
        <is>
          <t>Opposes</t>
        </is>
      </c>
      <c r="F186" s="5" t="inlineStr">
        <is>
          <t>Texting and phone calls</t>
        </is>
      </c>
      <c r="G186" s="5" t="inlineStr">
        <is>
          <t>ACTIVATE AMERICA</t>
        </is>
      </c>
      <c r="H186" s="5" t="inlineStr">
        <is>
          <t>PHONE BANK</t>
        </is>
      </c>
      <c r="I186" s="5" t="inlineStr">
        <is>
          <t>SANTA ANA</t>
        </is>
      </c>
      <c r="J186" s="5" t="inlineStr">
        <is>
          <t>CA</t>
        </is>
      </c>
      <c r="K186" s="33" t="n">
        <v>96.45</v>
      </c>
      <c r="L186" s="34" t="n"/>
      <c r="M186" s="5" t="inlineStr">
        <is>
          <t>2025-04-24</t>
        </is>
      </c>
    </row>
    <row r="187">
      <c r="A187" s="5" t="inlineStr">
        <is>
          <t>outside_itemized</t>
        </is>
      </c>
      <c r="B187" s="5" t="n">
        <v>2026</v>
      </c>
      <c r="C187" s="5" t="inlineStr">
        <is>
          <t>Bob Brooks</t>
        </is>
      </c>
      <c r="D187" s="5" t="n"/>
      <c r="E187" s="5" t="inlineStr">
        <is>
          <t>Supports</t>
        </is>
      </c>
      <c r="F187" s="5" t="inlineStr">
        <is>
          <t>Email</t>
        </is>
      </c>
      <c r="G187" s="5" t="inlineStr">
        <is>
          <t>FIELD TEAM 6, INC.</t>
        </is>
      </c>
      <c r="H187" s="5" t="inlineStr">
        <is>
          <t>EMAIL SERVICES</t>
        </is>
      </c>
      <c r="I187" s="5" t="inlineStr">
        <is>
          <t>LOS ANGELES</t>
        </is>
      </c>
      <c r="J187" s="5" t="inlineStr">
        <is>
          <t>CA</t>
        </is>
      </c>
      <c r="K187" s="33" t="n">
        <v>90.5</v>
      </c>
      <c r="L187" s="34" t="n"/>
      <c r="M187" s="5" t="inlineStr">
        <is>
          <t>2026-09-01</t>
        </is>
      </c>
    </row>
    <row r="188">
      <c r="A188" s="5" t="inlineStr">
        <is>
          <t>outside_itemized</t>
        </is>
      </c>
      <c r="B188" s="5" t="n">
        <v>2026</v>
      </c>
      <c r="C188" s="5" t="inlineStr">
        <is>
          <t>Ryan Mackenzie</t>
        </is>
      </c>
      <c r="D188" s="5" t="n"/>
      <c r="E188" s="5" t="inlineStr">
        <is>
          <t>Opposes</t>
        </is>
      </c>
      <c r="F188" s="5" t="inlineStr">
        <is>
          <t>Canvassing and field</t>
        </is>
      </c>
      <c r="G188" s="5" t="inlineStr">
        <is>
          <t>PLANNED PARENTHOOD VOTES</t>
        </is>
      </c>
      <c r="H188" s="5" t="inlineStr">
        <is>
          <t>STAFF TIME FOR VOTER COMMUNICATIONS</t>
        </is>
      </c>
      <c r="I188" s="5" t="inlineStr">
        <is>
          <t>NEW YORK</t>
        </is>
      </c>
      <c r="J188" s="5" t="inlineStr">
        <is>
          <t>NY</t>
        </is>
      </c>
      <c r="K188" s="33" t="n">
        <v>85.38</v>
      </c>
      <c r="L188" s="34" t="n"/>
      <c r="M188" s="5" t="inlineStr">
        <is>
          <t>2026-06-28</t>
        </is>
      </c>
    </row>
    <row r="189">
      <c r="A189" s="5" t="inlineStr">
        <is>
          <t>outside_itemized</t>
        </is>
      </c>
      <c r="B189" s="5" t="n">
        <v>2026</v>
      </c>
      <c r="C189" s="5" t="inlineStr">
        <is>
          <t>Ryan Mackenzie</t>
        </is>
      </c>
      <c r="D189" s="5" t="n"/>
      <c r="E189" s="5" t="inlineStr">
        <is>
          <t>Opposes</t>
        </is>
      </c>
      <c r="F189" s="5" t="inlineStr">
        <is>
          <t>Digital advertising</t>
        </is>
      </c>
      <c r="G189" s="5" t="inlineStr">
        <is>
          <t>INDIGO PAC</t>
        </is>
      </c>
      <c r="H189" s="5" t="inlineStr">
        <is>
          <t>DIGITAL ADVERTISING</t>
        </is>
      </c>
      <c r="I189" s="5" t="inlineStr">
        <is>
          <t>MENLO PARK</t>
        </is>
      </c>
      <c r="J189" s="5" t="inlineStr">
        <is>
          <t>CA</t>
        </is>
      </c>
      <c r="K189" s="33" t="n">
        <v>76.42</v>
      </c>
      <c r="L189" s="34" t="n"/>
      <c r="M189" s="5" t="inlineStr">
        <is>
          <t>2025-09-29</t>
        </is>
      </c>
    </row>
    <row r="190">
      <c r="A190" s="5" t="inlineStr">
        <is>
          <t>outside_itemized</t>
        </is>
      </c>
      <c r="B190" s="5" t="n">
        <v>2026</v>
      </c>
      <c r="C190" s="5" t="inlineStr">
        <is>
          <t>Ryan Mackenzie</t>
        </is>
      </c>
      <c r="D190" s="5" t="n"/>
      <c r="E190" s="5" t="inlineStr">
        <is>
          <t>Opposes</t>
        </is>
      </c>
      <c r="F190" s="5" t="inlineStr">
        <is>
          <t>Canvassing and field</t>
        </is>
      </c>
      <c r="G190" s="5" t="inlineStr">
        <is>
          <t>PLANNED PARENTHOOD VOTES</t>
        </is>
      </c>
      <c r="H190" s="5" t="inlineStr">
        <is>
          <t>ESTIMATED COST OF STAFF TIME FOR VOTER COMMUNICATIONS</t>
        </is>
      </c>
      <c r="I190" s="5" t="inlineStr">
        <is>
          <t>NEW YORK</t>
        </is>
      </c>
      <c r="J190" s="5" t="inlineStr">
        <is>
          <t>NY</t>
        </is>
      </c>
      <c r="K190" s="33" t="n">
        <v>71.43000000000001</v>
      </c>
      <c r="L190" s="34" t="n"/>
      <c r="M190" s="5" t="inlineStr">
        <is>
          <t>2026-05-19</t>
        </is>
      </c>
    </row>
    <row r="191">
      <c r="A191" s="5" t="inlineStr">
        <is>
          <t>outside_itemized</t>
        </is>
      </c>
      <c r="B191" s="5" t="n">
        <v>2026</v>
      </c>
      <c r="C191" s="5" t="inlineStr">
        <is>
          <t>Bob Brooks</t>
        </is>
      </c>
      <c r="D191" s="5" t="n"/>
      <c r="E191" s="5" t="inlineStr">
        <is>
          <t>Supports</t>
        </is>
      </c>
      <c r="F191" s="5" t="inlineStr">
        <is>
          <t>Texting and phone calls</t>
        </is>
      </c>
      <c r="G191" s="5" t="inlineStr">
        <is>
          <t>BLUE DEMOCRACY NETWORK</t>
        </is>
      </c>
      <c r="H191" s="5" t="inlineStr">
        <is>
          <t>TEXT MESSAGES</t>
        </is>
      </c>
      <c r="I191" s="5" t="inlineStr">
        <is>
          <t>DOVER</t>
        </is>
      </c>
      <c r="J191" s="5" t="inlineStr">
        <is>
          <t>DE</t>
        </is>
      </c>
      <c r="K191" s="33" t="n">
        <v>62.5</v>
      </c>
      <c r="L191" s="34" t="n"/>
      <c r="M191" s="5" t="inlineStr">
        <is>
          <t>2026-04-20</t>
        </is>
      </c>
    </row>
    <row r="192">
      <c r="A192" s="5" t="inlineStr">
        <is>
          <t>outside_itemized</t>
        </is>
      </c>
      <c r="B192" s="5" t="n">
        <v>2026</v>
      </c>
      <c r="C192" s="5" t="inlineStr">
        <is>
          <t>Ryan Mackenzie</t>
        </is>
      </c>
      <c r="D192" s="5" t="n"/>
      <c r="E192" s="5" t="inlineStr">
        <is>
          <t>Opposes</t>
        </is>
      </c>
      <c r="F192" s="5" t="inlineStr">
        <is>
          <t>Digital advertising</t>
        </is>
      </c>
      <c r="G192" s="5" t="inlineStr">
        <is>
          <t>INDIGO PAC</t>
        </is>
      </c>
      <c r="H192" s="5" t="inlineStr">
        <is>
          <t>DIGITAL ADVERTISING</t>
        </is>
      </c>
      <c r="I192" s="5" t="inlineStr">
        <is>
          <t>MENLO PARK</t>
        </is>
      </c>
      <c r="J192" s="5" t="inlineStr">
        <is>
          <t>CA</t>
        </is>
      </c>
      <c r="K192" s="33" t="n">
        <v>55</v>
      </c>
      <c r="L192" s="34" t="n"/>
      <c r="M192" s="5" t="inlineStr">
        <is>
          <t>2025-09-15</t>
        </is>
      </c>
    </row>
    <row r="193">
      <c r="A193" s="5" t="inlineStr">
        <is>
          <t>outside_itemized</t>
        </is>
      </c>
      <c r="B193" s="5" t="n">
        <v>2026</v>
      </c>
      <c r="C193" s="5" t="inlineStr">
        <is>
          <t>Bob Brooks</t>
        </is>
      </c>
      <c r="D193" s="5" t="n"/>
      <c r="E193" s="5" t="inlineStr">
        <is>
          <t>Supports</t>
        </is>
      </c>
      <c r="F193" s="5" t="inlineStr">
        <is>
          <t>Email</t>
        </is>
      </c>
      <c r="G193" s="5" t="inlineStr">
        <is>
          <t>THE PEOPLE UNITED PAC</t>
        </is>
      </c>
      <c r="H193" s="5" t="inlineStr">
        <is>
          <t>FUNDRAISING EMAIL</t>
        </is>
      </c>
      <c r="I193" s="5" t="inlineStr">
        <is>
          <t>WASHINGTON</t>
        </is>
      </c>
      <c r="J193" s="5" t="inlineStr">
        <is>
          <t>DC</t>
        </is>
      </c>
      <c r="K193" s="33" t="n">
        <v>50</v>
      </c>
      <c r="L193" s="34" t="n"/>
      <c r="M193" s="5" t="inlineStr">
        <is>
          <t>2026-05-21</t>
        </is>
      </c>
    </row>
    <row r="194">
      <c r="A194" s="5" t="inlineStr">
        <is>
          <t>outside_itemized</t>
        </is>
      </c>
      <c r="B194" s="5" t="n">
        <v>2026</v>
      </c>
      <c r="C194" s="5" t="inlineStr">
        <is>
          <t>Ryan Mackenzie</t>
        </is>
      </c>
      <c r="D194" s="5" t="n"/>
      <c r="E194" s="5" t="inlineStr">
        <is>
          <t>Opposes</t>
        </is>
      </c>
      <c r="F194" s="5" t="inlineStr">
        <is>
          <t>Canvassing and field</t>
        </is>
      </c>
      <c r="G194" s="5" t="inlineStr">
        <is>
          <t>PLANNED PARENTHOOD VOTES</t>
        </is>
      </c>
      <c r="H194" s="5" t="inlineStr">
        <is>
          <t>STAFF TIME FOR VOTER COMMUNICATIONS</t>
        </is>
      </c>
      <c r="I194" s="5" t="inlineStr">
        <is>
          <t>NEW YORK</t>
        </is>
      </c>
      <c r="J194" s="5" t="inlineStr">
        <is>
          <t>NY</t>
        </is>
      </c>
      <c r="K194" s="33" t="n">
        <v>40.38</v>
      </c>
      <c r="L194" s="34" t="n"/>
      <c r="M194" s="5" t="inlineStr">
        <is>
          <t>2026-07-19</t>
        </is>
      </c>
    </row>
    <row r="195">
      <c r="A195" s="5" t="inlineStr">
        <is>
          <t>outside_itemized</t>
        </is>
      </c>
      <c r="B195" s="5" t="n">
        <v>2026</v>
      </c>
      <c r="C195" s="5" t="inlineStr">
        <is>
          <t>Ryan Mackenzie</t>
        </is>
      </c>
      <c r="D195" s="5" t="n"/>
      <c r="E195" s="5" t="inlineStr">
        <is>
          <t>Opposes</t>
        </is>
      </c>
      <c r="F195" s="5" t="inlineStr">
        <is>
          <t>Digital advertising</t>
        </is>
      </c>
      <c r="G195" s="5" t="inlineStr">
        <is>
          <t>INDIGO PAC</t>
        </is>
      </c>
      <c r="H195" s="5" t="inlineStr">
        <is>
          <t>DIGITAL ADVERTISING</t>
        </is>
      </c>
      <c r="I195" s="5" t="inlineStr">
        <is>
          <t>MENLO PARK</t>
        </is>
      </c>
      <c r="J195" s="5" t="inlineStr">
        <is>
          <t>CA</t>
        </is>
      </c>
      <c r="K195" s="33" t="n">
        <v>39</v>
      </c>
      <c r="L195" s="34" t="n"/>
      <c r="M195" s="5" t="inlineStr">
        <is>
          <t>2025-09-11</t>
        </is>
      </c>
    </row>
    <row r="196">
      <c r="A196" s="5" t="inlineStr">
        <is>
          <t>outside_itemized</t>
        </is>
      </c>
      <c r="B196" s="5" t="n">
        <v>2026</v>
      </c>
      <c r="C196" s="5" t="inlineStr">
        <is>
          <t>Bob Brooks</t>
        </is>
      </c>
      <c r="D196" s="5" t="n"/>
      <c r="E196" s="5" t="inlineStr">
        <is>
          <t>Supports</t>
        </is>
      </c>
      <c r="F196" s="5" t="inlineStr">
        <is>
          <t>Email</t>
        </is>
      </c>
      <c r="G196" s="5" t="inlineStr">
        <is>
          <t>FIELD TEAM 6, INC.</t>
        </is>
      </c>
      <c r="H196" s="5" t="inlineStr">
        <is>
          <t>EMAIL SERVICES</t>
        </is>
      </c>
      <c r="I196" s="5" t="inlineStr">
        <is>
          <t>LOS ANGELES</t>
        </is>
      </c>
      <c r="J196" s="5" t="inlineStr">
        <is>
          <t>CA</t>
        </is>
      </c>
      <c r="K196" s="33" t="n">
        <v>38.88</v>
      </c>
      <c r="L196" s="34" t="n"/>
      <c r="M196" s="5" t="inlineStr">
        <is>
          <t>2026-09-30</t>
        </is>
      </c>
    </row>
    <row r="197">
      <c r="A197" s="5" t="inlineStr">
        <is>
          <t>outside_itemized</t>
        </is>
      </c>
      <c r="B197" s="5" t="n">
        <v>2026</v>
      </c>
      <c r="C197" s="5" t="inlineStr">
        <is>
          <t>Bob Brooks</t>
        </is>
      </c>
      <c r="D197" s="5" t="n"/>
      <c r="E197" s="5" t="inlineStr">
        <is>
          <t>Supports</t>
        </is>
      </c>
      <c r="F197" s="5" t="inlineStr">
        <is>
          <t>Email</t>
        </is>
      </c>
      <c r="G197" s="5" t="inlineStr">
        <is>
          <t>FIELD TEAM 6, INC.</t>
        </is>
      </c>
      <c r="H197" s="5" t="inlineStr">
        <is>
          <t>EMAIL SERVICES</t>
        </is>
      </c>
      <c r="I197" s="5" t="inlineStr">
        <is>
          <t>LOS ANGELES</t>
        </is>
      </c>
      <c r="J197" s="5" t="inlineStr">
        <is>
          <t>CA</t>
        </is>
      </c>
      <c r="K197" s="33" t="n">
        <v>38.81</v>
      </c>
      <c r="L197" s="34" t="n"/>
      <c r="M197" s="5" t="inlineStr">
        <is>
          <t>2026-09-30</t>
        </is>
      </c>
    </row>
    <row r="198">
      <c r="A198" s="5" t="inlineStr">
        <is>
          <t>outside_itemized</t>
        </is>
      </c>
      <c r="B198" s="5" t="n">
        <v>2026</v>
      </c>
      <c r="C198" s="5" t="inlineStr">
        <is>
          <t>Bob Brooks</t>
        </is>
      </c>
      <c r="D198" s="5" t="n"/>
      <c r="E198" s="5" t="inlineStr">
        <is>
          <t>Supports</t>
        </is>
      </c>
      <c r="F198" s="5" t="inlineStr">
        <is>
          <t>Canvassing and field</t>
        </is>
      </c>
      <c r="G198" s="5" t="inlineStr">
        <is>
          <t>MAKE THE ROAD ACTION POLITICAL COMMITTEE</t>
        </is>
      </c>
      <c r="H198" s="5" t="inlineStr">
        <is>
          <t>FOOD FOR CANVASSERS</t>
        </is>
      </c>
      <c r="I198" s="5" t="inlineStr">
        <is>
          <t>PHILADELPHIA</t>
        </is>
      </c>
      <c r="J198" s="5" t="inlineStr">
        <is>
          <t>PA</t>
        </is>
      </c>
      <c r="K198" s="33" t="n">
        <v>35.68</v>
      </c>
      <c r="L198" s="34" t="n"/>
      <c r="M198" s="5" t="inlineStr">
        <is>
          <t>2026-04-02</t>
        </is>
      </c>
    </row>
    <row r="199">
      <c r="A199" s="5" t="inlineStr">
        <is>
          <t>outside_itemized</t>
        </is>
      </c>
      <c r="B199" s="5" t="n">
        <v>2026</v>
      </c>
      <c r="C199" s="5" t="inlineStr">
        <is>
          <t>Bob Brooks</t>
        </is>
      </c>
      <c r="D199" s="5" t="n"/>
      <c r="E199" s="5" t="inlineStr">
        <is>
          <t>Supports</t>
        </is>
      </c>
      <c r="F199" s="5" t="inlineStr">
        <is>
          <t>Email</t>
        </is>
      </c>
      <c r="G199" s="5" t="inlineStr">
        <is>
          <t>GIVEGREEN UNITED ACTION</t>
        </is>
      </c>
      <c r="H199" s="5" t="inlineStr">
        <is>
          <t>EMAIL MESSAGING</t>
        </is>
      </c>
      <c r="I199" s="5" t="inlineStr">
        <is>
          <t>BETHESDA</t>
        </is>
      </c>
      <c r="J199" s="5" t="inlineStr">
        <is>
          <t>MD</t>
        </is>
      </c>
      <c r="K199" s="33" t="n">
        <v>32</v>
      </c>
      <c r="L199" s="34" t="n"/>
      <c r="M199" s="5" t="inlineStr">
        <is>
          <t>2026-06-25</t>
        </is>
      </c>
    </row>
    <row r="200">
      <c r="A200" s="5" t="inlineStr">
        <is>
          <t>outside_itemized</t>
        </is>
      </c>
      <c r="B200" s="5" t="n">
        <v>2026</v>
      </c>
      <c r="C200" s="5" t="inlineStr">
        <is>
          <t>Bob Brooks</t>
        </is>
      </c>
      <c r="D200" s="5" t="n"/>
      <c r="E200" s="5" t="inlineStr">
        <is>
          <t>Opposes</t>
        </is>
      </c>
      <c r="F200" s="5" t="inlineStr">
        <is>
          <t>Mail and print</t>
        </is>
      </c>
      <c r="G200" s="5" t="inlineStr">
        <is>
          <t>PENNSYLVANIA PRO-LIFE FEDERATION PAC</t>
        </is>
      </c>
      <c r="H200" s="5" t="inlineStr">
        <is>
          <t>POSTAGE FOR 2026 FALL GENERAL ELECTION VOTER'S GUIDE</t>
        </is>
      </c>
      <c r="I200" s="5" t="inlineStr">
        <is>
          <t>HARRISBURG</t>
        </is>
      </c>
      <c r="J200" s="5" t="inlineStr">
        <is>
          <t>PA</t>
        </is>
      </c>
      <c r="K200" s="33" t="n">
        <v>22.94</v>
      </c>
      <c r="L200" s="34" t="n"/>
      <c r="M200" s="5" t="inlineStr">
        <is>
          <t>2026-09-22</t>
        </is>
      </c>
    </row>
    <row r="201">
      <c r="A201" s="5" t="inlineStr">
        <is>
          <t>outside_itemized</t>
        </is>
      </c>
      <c r="B201" s="5" t="n">
        <v>2026</v>
      </c>
      <c r="C201" s="5" t="inlineStr">
        <is>
          <t>Ryan Mackenzie</t>
        </is>
      </c>
      <c r="D201" s="5" t="n"/>
      <c r="E201" s="5" t="inlineStr">
        <is>
          <t>Supports</t>
        </is>
      </c>
      <c r="F201" s="5" t="inlineStr">
        <is>
          <t>Mail and print</t>
        </is>
      </c>
      <c r="G201" s="5" t="inlineStr">
        <is>
          <t>PENNSYLVANIA PRO-LIFE FEDERATION PAC</t>
        </is>
      </c>
      <c r="H201" s="5" t="inlineStr">
        <is>
          <t>POSTAGE FOR 2026 FALL GENERAL ELECTION VOTER'S GUIDE</t>
        </is>
      </c>
      <c r="I201" s="5" t="inlineStr">
        <is>
          <t>HARRISBURG</t>
        </is>
      </c>
      <c r="J201" s="5" t="inlineStr">
        <is>
          <t>PA</t>
        </is>
      </c>
      <c r="K201" s="33" t="n">
        <v>22.94</v>
      </c>
      <c r="L201" s="34" t="n"/>
      <c r="M201" s="5" t="inlineStr">
        <is>
          <t>2026-09-22</t>
        </is>
      </c>
    </row>
    <row r="202">
      <c r="A202" s="5" t="inlineStr">
        <is>
          <t>outside_itemized</t>
        </is>
      </c>
      <c r="B202" s="5" t="n">
        <v>2026</v>
      </c>
      <c r="C202" s="5" t="inlineStr">
        <is>
          <t>Bob Brooks</t>
        </is>
      </c>
      <c r="D202" s="5" t="n"/>
      <c r="E202" s="5" t="inlineStr">
        <is>
          <t>Supports</t>
        </is>
      </c>
      <c r="F202" s="5" t="inlineStr">
        <is>
          <t>Texting and phone calls</t>
        </is>
      </c>
      <c r="G202" s="5" t="inlineStr">
        <is>
          <t>GIVEGREEN UNITED ACTION</t>
        </is>
      </c>
      <c r="H202" s="5" t="inlineStr">
        <is>
          <t>TEXT MESSAGING</t>
        </is>
      </c>
      <c r="I202" s="5" t="inlineStr">
        <is>
          <t>BETHESDA</t>
        </is>
      </c>
      <c r="J202" s="5" t="inlineStr">
        <is>
          <t>MD</t>
        </is>
      </c>
      <c r="K202" s="33" t="n">
        <v>4.54</v>
      </c>
      <c r="L202" s="34" t="n"/>
      <c r="M202" s="5" t="inlineStr">
        <is>
          <t>2026-06-25</t>
        </is>
      </c>
    </row>
    <row r="203">
      <c r="A203" s="5" t="inlineStr">
        <is>
          <t>spending_by_category</t>
        </is>
      </c>
      <c r="B203" s="5" t="n">
        <v>2026</v>
      </c>
      <c r="C203" s="5" t="inlineStr">
        <is>
          <t>Bob Brooks</t>
        </is>
      </c>
      <c r="D203" s="5" t="inlineStr">
        <is>
          <t>DEM</t>
        </is>
      </c>
      <c r="E203" s="5" t="n"/>
      <c r="F203" s="5" t="inlineStr">
        <is>
          <t>Television advertising</t>
        </is>
      </c>
      <c r="G203" s="5" t="n"/>
      <c r="H203" s="5" t="n"/>
      <c r="I203" s="5" t="n"/>
      <c r="J203" s="5" t="n"/>
      <c r="K203" s="33" t="n">
        <v>521229</v>
      </c>
      <c r="L203" s="34" t="n">
        <v>9</v>
      </c>
      <c r="M203" s="5" t="inlineStr">
        <is>
          <t>2026-10-14</t>
        </is>
      </c>
    </row>
    <row r="204">
      <c r="A204" s="5" t="inlineStr">
        <is>
          <t>spending_by_category</t>
        </is>
      </c>
      <c r="B204" s="5" t="n">
        <v>2026</v>
      </c>
      <c r="C204" s="5" t="inlineStr">
        <is>
          <t>Bob Brooks</t>
        </is>
      </c>
      <c r="D204" s="5" t="inlineStr">
        <is>
          <t>DEM</t>
        </is>
      </c>
      <c r="E204" s="5" t="n"/>
      <c r="F204" s="5" t="inlineStr">
        <is>
          <t>Digital advertising</t>
        </is>
      </c>
      <c r="G204" s="5" t="n"/>
      <c r="H204" s="5" t="n"/>
      <c r="I204" s="5" t="n"/>
      <c r="J204" s="5" t="n"/>
      <c r="K204" s="33" t="n">
        <v>258938.16</v>
      </c>
      <c r="L204" s="34" t="n">
        <v>19</v>
      </c>
      <c r="M204" s="5" t="inlineStr">
        <is>
          <t>2026-10-14</t>
        </is>
      </c>
    </row>
    <row r="205">
      <c r="A205" s="5" t="inlineStr">
        <is>
          <t>spending_by_category</t>
        </is>
      </c>
      <c r="B205" s="5" t="n">
        <v>2026</v>
      </c>
      <c r="C205" s="5" t="inlineStr">
        <is>
          <t>Bob Brooks</t>
        </is>
      </c>
      <c r="D205" s="5" t="inlineStr">
        <is>
          <t>DEM</t>
        </is>
      </c>
      <c r="E205" s="5" t="n"/>
      <c r="F205" s="5" t="inlineStr">
        <is>
          <t>Staff and payroll</t>
        </is>
      </c>
      <c r="G205" s="5" t="n"/>
      <c r="H205" s="5" t="n"/>
      <c r="I205" s="5" t="n"/>
      <c r="J205" s="5" t="n"/>
      <c r="K205" s="33" t="n">
        <v>204066.98</v>
      </c>
      <c r="L205" s="34" t="n">
        <v>61</v>
      </c>
      <c r="M205" s="5" t="inlineStr">
        <is>
          <t>2026-10-14</t>
        </is>
      </c>
    </row>
    <row r="206">
      <c r="A206" s="5" t="inlineStr">
        <is>
          <t>spending_by_category</t>
        </is>
      </c>
      <c r="B206" s="5" t="n">
        <v>2026</v>
      </c>
      <c r="C206" s="5" t="inlineStr">
        <is>
          <t>Bob Brooks</t>
        </is>
      </c>
      <c r="D206" s="5" t="inlineStr">
        <is>
          <t>DEM</t>
        </is>
      </c>
      <c r="E206" s="5" t="n"/>
      <c r="F206" s="5" t="inlineStr">
        <is>
          <t>Fundraising</t>
        </is>
      </c>
      <c r="G206" s="5" t="n"/>
      <c r="H206" s="5" t="n"/>
      <c r="I206" s="5" t="n"/>
      <c r="J206" s="5" t="n"/>
      <c r="K206" s="33" t="n">
        <v>105581.67</v>
      </c>
      <c r="L206" s="34" t="n">
        <v>169</v>
      </c>
      <c r="M206" s="5" t="inlineStr">
        <is>
          <t>2026-10-14</t>
        </is>
      </c>
    </row>
    <row r="207">
      <c r="A207" s="5" t="inlineStr">
        <is>
          <t>spending_by_category</t>
        </is>
      </c>
      <c r="B207" s="5" t="n">
        <v>2026</v>
      </c>
      <c r="C207" s="5" t="inlineStr">
        <is>
          <t>Bob Brooks</t>
        </is>
      </c>
      <c r="D207" s="5" t="inlineStr">
        <is>
          <t>DEM</t>
        </is>
      </c>
      <c r="E207" s="5" t="n"/>
      <c r="F207" s="5" t="inlineStr">
        <is>
          <t>Office and administrative</t>
        </is>
      </c>
      <c r="G207" s="5" t="n"/>
      <c r="H207" s="5" t="n"/>
      <c r="I207" s="5" t="n"/>
      <c r="J207" s="5" t="n"/>
      <c r="K207" s="33" t="n">
        <v>94451.94</v>
      </c>
      <c r="L207" s="34" t="n">
        <v>48</v>
      </c>
      <c r="M207" s="5" t="inlineStr">
        <is>
          <t>2026-10-14</t>
        </is>
      </c>
    </row>
    <row r="208">
      <c r="A208" s="5" t="inlineStr">
        <is>
          <t>spending_by_category</t>
        </is>
      </c>
      <c r="B208" s="5" t="n">
        <v>2026</v>
      </c>
      <c r="C208" s="5" t="inlineStr">
        <is>
          <t>Bob Brooks</t>
        </is>
      </c>
      <c r="D208" s="5" t="inlineStr">
        <is>
          <t>DEM</t>
        </is>
      </c>
      <c r="E208" s="5" t="n"/>
      <c r="F208" s="5" t="inlineStr">
        <is>
          <t>Field, phones and texting</t>
        </is>
      </c>
      <c r="G208" s="5" t="n"/>
      <c r="H208" s="5" t="n"/>
      <c r="I208" s="5" t="n"/>
      <c r="J208" s="5" t="n"/>
      <c r="K208" s="33" t="n">
        <v>49977.25</v>
      </c>
      <c r="L208" s="34" t="n">
        <v>16</v>
      </c>
      <c r="M208" s="5" t="inlineStr">
        <is>
          <t>2026-10-14</t>
        </is>
      </c>
    </row>
    <row r="209">
      <c r="A209" s="5" t="inlineStr">
        <is>
          <t>spending_by_category</t>
        </is>
      </c>
      <c r="B209" s="5" t="n">
        <v>2026</v>
      </c>
      <c r="C209" s="5" t="inlineStr">
        <is>
          <t>Bob Brooks</t>
        </is>
      </c>
      <c r="D209" s="5" t="inlineStr">
        <is>
          <t>DEM</t>
        </is>
      </c>
      <c r="E209" s="5" t="n"/>
      <c r="F209" s="5" t="inlineStr">
        <is>
          <t>Polling and research</t>
        </is>
      </c>
      <c r="G209" s="5" t="n"/>
      <c r="H209" s="5" t="n"/>
      <c r="I209" s="5" t="n"/>
      <c r="J209" s="5" t="n"/>
      <c r="K209" s="33" t="n">
        <v>41005</v>
      </c>
      <c r="L209" s="34" t="n">
        <v>8</v>
      </c>
      <c r="M209" s="5" t="inlineStr">
        <is>
          <t>2026-10-14</t>
        </is>
      </c>
    </row>
    <row r="210">
      <c r="A210" s="5" t="inlineStr">
        <is>
          <t>spending_by_category</t>
        </is>
      </c>
      <c r="B210" s="5" t="n">
        <v>2026</v>
      </c>
      <c r="C210" s="5" t="inlineStr">
        <is>
          <t>Bob Brooks</t>
        </is>
      </c>
      <c r="D210" s="5" t="inlineStr">
        <is>
          <t>DEM</t>
        </is>
      </c>
      <c r="E210" s="5" t="n"/>
      <c r="F210" s="5" t="inlineStr">
        <is>
          <t>Media production</t>
        </is>
      </c>
      <c r="G210" s="5" t="n"/>
      <c r="H210" s="5" t="n"/>
      <c r="I210" s="5" t="n"/>
      <c r="J210" s="5" t="n"/>
      <c r="K210" s="33" t="n">
        <v>34156.56</v>
      </c>
      <c r="L210" s="34" t="n">
        <v>5</v>
      </c>
      <c r="M210" s="5" t="inlineStr">
        <is>
          <t>2026-10-14</t>
        </is>
      </c>
    </row>
    <row r="211">
      <c r="A211" s="5" t="inlineStr">
        <is>
          <t>spending_by_category</t>
        </is>
      </c>
      <c r="B211" s="5" t="n">
        <v>2026</v>
      </c>
      <c r="C211" s="5" t="inlineStr">
        <is>
          <t>Bob Brooks</t>
        </is>
      </c>
      <c r="D211" s="5" t="inlineStr">
        <is>
          <t>DEM</t>
        </is>
      </c>
      <c r="E211" s="5" t="n"/>
      <c r="F211" s="5" t="inlineStr">
        <is>
          <t>Mail and printing</t>
        </is>
      </c>
      <c r="G211" s="5" t="n"/>
      <c r="H211" s="5" t="n"/>
      <c r="I211" s="5" t="n"/>
      <c r="J211" s="5" t="n"/>
      <c r="K211" s="33" t="n">
        <v>22167.78</v>
      </c>
      <c r="L211" s="34" t="n">
        <v>15</v>
      </c>
      <c r="M211" s="5" t="inlineStr">
        <is>
          <t>2026-10-14</t>
        </is>
      </c>
    </row>
    <row r="212">
      <c r="A212" s="5" t="inlineStr">
        <is>
          <t>spending_by_category</t>
        </is>
      </c>
      <c r="B212" s="5" t="n">
        <v>2026</v>
      </c>
      <c r="C212" s="5" t="inlineStr">
        <is>
          <t>Bob Brooks</t>
        </is>
      </c>
      <c r="D212" s="5" t="inlineStr">
        <is>
          <t>DEM</t>
        </is>
      </c>
      <c r="E212" s="5" t="n"/>
      <c r="F212" s="5" t="inlineStr">
        <is>
          <t>Refunds</t>
        </is>
      </c>
      <c r="G212" s="5" t="n"/>
      <c r="H212" s="5" t="n"/>
      <c r="I212" s="5" t="n"/>
      <c r="J212" s="5" t="n"/>
      <c r="K212" s="33" t="n">
        <v>10375</v>
      </c>
      <c r="L212" s="34" t="n">
        <v>12</v>
      </c>
      <c r="M212" s="5" t="inlineStr">
        <is>
          <t>2026-10-14</t>
        </is>
      </c>
    </row>
    <row r="213">
      <c r="A213" s="5" t="inlineStr">
        <is>
          <t>spending_by_category</t>
        </is>
      </c>
      <c r="B213" s="5" t="n">
        <v>2026</v>
      </c>
      <c r="C213" s="5" t="inlineStr">
        <is>
          <t>Bob Brooks</t>
        </is>
      </c>
      <c r="D213" s="5" t="inlineStr">
        <is>
          <t>DEM</t>
        </is>
      </c>
      <c r="E213" s="5" t="n"/>
      <c r="F213" s="5" t="inlineStr">
        <is>
          <t>Consulting</t>
        </is>
      </c>
      <c r="G213" s="5" t="n"/>
      <c r="H213" s="5" t="n"/>
      <c r="I213" s="5" t="n"/>
      <c r="J213" s="5" t="n"/>
      <c r="K213" s="33" t="n">
        <v>10000</v>
      </c>
      <c r="L213" s="34" t="n">
        <v>1</v>
      </c>
      <c r="M213" s="5" t="inlineStr">
        <is>
          <t>2026-10-14</t>
        </is>
      </c>
    </row>
    <row r="214">
      <c r="A214" s="5" t="inlineStr">
        <is>
          <t>spending_by_category</t>
        </is>
      </c>
      <c r="B214" s="5" t="n">
        <v>2026</v>
      </c>
      <c r="C214" s="5" t="inlineStr">
        <is>
          <t>Bob Brooks</t>
        </is>
      </c>
      <c r="D214" s="5" t="inlineStr">
        <is>
          <t>DEM</t>
        </is>
      </c>
      <c r="E214" s="5" t="n"/>
      <c r="F214" s="5" t="inlineStr">
        <is>
          <t>Travel</t>
        </is>
      </c>
      <c r="G214" s="5" t="n"/>
      <c r="H214" s="5" t="n"/>
      <c r="I214" s="5" t="n"/>
      <c r="J214" s="5" t="n"/>
      <c r="K214" s="33" t="n">
        <v>6186.67</v>
      </c>
      <c r="L214" s="34" t="n">
        <v>20</v>
      </c>
      <c r="M214" s="5" t="inlineStr">
        <is>
          <t>2026-10-14</t>
        </is>
      </c>
    </row>
    <row r="215">
      <c r="A215" s="5" t="inlineStr">
        <is>
          <t>spending_by_category</t>
        </is>
      </c>
      <c r="B215" s="5" t="n">
        <v>2026</v>
      </c>
      <c r="C215" s="5" t="inlineStr">
        <is>
          <t>Bob Brooks</t>
        </is>
      </c>
      <c r="D215" s="5" t="inlineStr">
        <is>
          <t>DEM</t>
        </is>
      </c>
      <c r="E215" s="5" t="n"/>
      <c r="F215" s="5" t="inlineStr">
        <is>
          <t>Other</t>
        </is>
      </c>
      <c r="G215" s="5" t="n"/>
      <c r="H215" s="5" t="n"/>
      <c r="I215" s="5" t="n"/>
      <c r="J215" s="5" t="n"/>
      <c r="K215" s="33" t="n">
        <v>4318.17</v>
      </c>
      <c r="L215" s="34" t="n">
        <v>2</v>
      </c>
      <c r="M215" s="5" t="inlineStr">
        <is>
          <t>2026-10-14</t>
        </is>
      </c>
    </row>
    <row r="216">
      <c r="A216" s="5" t="inlineStr">
        <is>
          <t>spending_by_category</t>
        </is>
      </c>
      <c r="B216" s="5" t="n">
        <v>2026</v>
      </c>
      <c r="C216" s="5" t="inlineStr">
        <is>
          <t>Bob Brooks</t>
        </is>
      </c>
      <c r="D216" s="5" t="inlineStr">
        <is>
          <t>DEM</t>
        </is>
      </c>
      <c r="E216" s="5" t="n"/>
      <c r="F216" s="5" t="inlineStr">
        <is>
          <t>Events and meals</t>
        </is>
      </c>
      <c r="G216" s="5" t="n"/>
      <c r="H216" s="5" t="n"/>
      <c r="I216" s="5" t="n"/>
      <c r="J216" s="5" t="n"/>
      <c r="K216" s="33" t="n">
        <v>4117.43</v>
      </c>
      <c r="L216" s="34" t="n">
        <v>12</v>
      </c>
      <c r="M216" s="5" t="inlineStr">
        <is>
          <t>2026-10-14</t>
        </is>
      </c>
    </row>
    <row r="217">
      <c r="A217" s="5" t="inlineStr">
        <is>
          <t>spending_by_category</t>
        </is>
      </c>
      <c r="B217" s="5" t="n">
        <v>2026</v>
      </c>
      <c r="C217" s="5" t="inlineStr">
        <is>
          <t>Bob Brooks</t>
        </is>
      </c>
      <c r="D217" s="5" t="inlineStr">
        <is>
          <t>DEM</t>
        </is>
      </c>
      <c r="E217" s="5" t="n"/>
      <c r="F217" s="5" t="inlineStr">
        <is>
          <t>Contributions and donations</t>
        </is>
      </c>
      <c r="G217" s="5" t="n"/>
      <c r="H217" s="5" t="n"/>
      <c r="I217" s="5" t="n"/>
      <c r="J217" s="5" t="n"/>
      <c r="K217" s="33" t="n">
        <v>1333.76</v>
      </c>
      <c r="L217" s="34" t="n">
        <v>6</v>
      </c>
      <c r="M217" s="5" t="inlineStr">
        <is>
          <t>2026-10-14</t>
        </is>
      </c>
    </row>
    <row r="218">
      <c r="A218" s="5" t="inlineStr">
        <is>
          <t>spending_by_category</t>
        </is>
      </c>
      <c r="B218" s="5" t="n">
        <v>2026</v>
      </c>
      <c r="C218" s="5" t="inlineStr">
        <is>
          <t>Bob Brooks</t>
        </is>
      </c>
      <c r="D218" s="5" t="inlineStr">
        <is>
          <t>DEM</t>
        </is>
      </c>
      <c r="E218" s="5" t="n"/>
      <c r="F218" s="5" t="inlineStr">
        <is>
          <t>Signs and merchandise</t>
        </is>
      </c>
      <c r="G218" s="5" t="n"/>
      <c r="H218" s="5" t="n"/>
      <c r="I218" s="5" t="n"/>
      <c r="J218" s="5" t="n"/>
      <c r="K218" s="33" t="n">
        <v>750</v>
      </c>
      <c r="L218" s="34" t="n">
        <v>1</v>
      </c>
      <c r="M218" s="5" t="inlineStr">
        <is>
          <t>2026-10-14</t>
        </is>
      </c>
    </row>
    <row r="219">
      <c r="A219" s="5" t="inlineStr">
        <is>
          <t>spending_top_payees</t>
        </is>
      </c>
      <c r="B219" s="5" t="n">
        <v>2026</v>
      </c>
      <c r="C219" s="5" t="inlineStr">
        <is>
          <t>Bob Brooks</t>
        </is>
      </c>
      <c r="D219" s="5" t="inlineStr">
        <is>
          <t>DEM</t>
        </is>
      </c>
      <c r="E219" s="5" t="n"/>
      <c r="F219" s="5" t="inlineStr">
        <is>
          <t>Television advertising</t>
        </is>
      </c>
      <c r="G219" s="5" t="inlineStr">
        <is>
          <t>LC MEDIA LLC</t>
        </is>
      </c>
      <c r="H219" s="5" t="n"/>
      <c r="I219" s="5" t="inlineStr">
        <is>
          <t>HUNTINGDON VALLEY</t>
        </is>
      </c>
      <c r="J219" s="5" t="inlineStr">
        <is>
          <t>PA</t>
        </is>
      </c>
      <c r="K219" s="33" t="n">
        <v>543229</v>
      </c>
      <c r="L219" s="34" t="n">
        <v>11</v>
      </c>
      <c r="M219" s="5" t="inlineStr">
        <is>
          <t>2026-10-14</t>
        </is>
      </c>
    </row>
    <row r="220">
      <c r="A220" s="5" t="inlineStr">
        <is>
          <t>spending_top_payees</t>
        </is>
      </c>
      <c r="B220" s="5" t="n">
        <v>2026</v>
      </c>
      <c r="C220" s="5" t="inlineStr">
        <is>
          <t>Bob Brooks</t>
        </is>
      </c>
      <c r="D220" s="5" t="inlineStr">
        <is>
          <t>DEM</t>
        </is>
      </c>
      <c r="E220" s="5" t="n"/>
      <c r="F220" s="5" t="inlineStr">
        <is>
          <t>Digital advertising</t>
        </is>
      </c>
      <c r="G220" s="5" t="inlineStr">
        <is>
          <t>ASCEND DIGITAL</t>
        </is>
      </c>
      <c r="H220" s="5" t="n"/>
      <c r="I220" s="5" t="inlineStr">
        <is>
          <t>WASHINGTON</t>
        </is>
      </c>
      <c r="J220" s="5" t="inlineStr">
        <is>
          <t>DC</t>
        </is>
      </c>
      <c r="K220" s="33" t="n">
        <v>203646.79</v>
      </c>
      <c r="L220" s="34" t="n">
        <v>7</v>
      </c>
      <c r="M220" s="5" t="inlineStr">
        <is>
          <t>2026-10-14</t>
        </is>
      </c>
    </row>
    <row r="221">
      <c r="A221" s="5" t="inlineStr">
        <is>
          <t>spending_top_payees</t>
        </is>
      </c>
      <c r="B221" s="5" t="n">
        <v>2026</v>
      </c>
      <c r="C221" s="5" t="inlineStr">
        <is>
          <t>Bob Brooks</t>
        </is>
      </c>
      <c r="D221" s="5" t="inlineStr">
        <is>
          <t>DEM</t>
        </is>
      </c>
      <c r="E221" s="5" t="n"/>
      <c r="F221" s="5" t="inlineStr">
        <is>
          <t>Staff and payroll</t>
        </is>
      </c>
      <c r="G221" s="5" t="inlineStr">
        <is>
          <t>KAUFMAN, JENNA</t>
        </is>
      </c>
      <c r="H221" s="5" t="n"/>
      <c r="I221" s="5" t="inlineStr">
        <is>
          <t>BETHLEHEM</t>
        </is>
      </c>
      <c r="J221" s="5" t="inlineStr">
        <is>
          <t>PA</t>
        </is>
      </c>
      <c r="K221" s="33" t="n">
        <v>75187.39999999999</v>
      </c>
      <c r="L221" s="34" t="n">
        <v>16</v>
      </c>
      <c r="M221" s="5" t="inlineStr">
        <is>
          <t>2026-10-14</t>
        </is>
      </c>
    </row>
    <row r="222">
      <c r="A222" s="5" t="inlineStr">
        <is>
          <t>spending_top_payees</t>
        </is>
      </c>
      <c r="B222" s="5" t="n">
        <v>2026</v>
      </c>
      <c r="C222" s="5" t="inlineStr">
        <is>
          <t>Bob Brooks</t>
        </is>
      </c>
      <c r="D222" s="5" t="inlineStr">
        <is>
          <t>DEM</t>
        </is>
      </c>
      <c r="E222" s="5" t="n"/>
      <c r="F222" s="5" t="inlineStr">
        <is>
          <t>Staff and payroll</t>
        </is>
      </c>
      <c r="G222" s="5" t="inlineStr">
        <is>
          <t>WERNER, JACK</t>
        </is>
      </c>
      <c r="H222" s="5" t="n"/>
      <c r="I222" s="5" t="inlineStr">
        <is>
          <t>EASTON</t>
        </is>
      </c>
      <c r="J222" s="5" t="inlineStr">
        <is>
          <t>PA</t>
        </is>
      </c>
      <c r="K222" s="33" t="n">
        <v>58673.23</v>
      </c>
      <c r="L222" s="34" t="n">
        <v>17</v>
      </c>
      <c r="M222" s="5" t="inlineStr">
        <is>
          <t>2026-10-14</t>
        </is>
      </c>
    </row>
    <row r="223">
      <c r="A223" s="5" t="inlineStr">
        <is>
          <t>spending_top_payees</t>
        </is>
      </c>
      <c r="B223" s="5" t="n">
        <v>2026</v>
      </c>
      <c r="C223" s="5" t="inlineStr">
        <is>
          <t>Bob Brooks</t>
        </is>
      </c>
      <c r="D223" s="5" t="inlineStr">
        <is>
          <t>DEM</t>
        </is>
      </c>
      <c r="E223" s="5" t="n"/>
      <c r="F223" s="5" t="inlineStr">
        <is>
          <t>Staff and payroll</t>
        </is>
      </c>
      <c r="G223" s="5" t="inlineStr">
        <is>
          <t>PAYCHEX</t>
        </is>
      </c>
      <c r="H223" s="5" t="n"/>
      <c r="I223" s="5" t="inlineStr">
        <is>
          <t>ROCHESTER</t>
        </is>
      </c>
      <c r="J223" s="5" t="inlineStr">
        <is>
          <t>NY</t>
        </is>
      </c>
      <c r="K223" s="33" t="n">
        <v>54920.71</v>
      </c>
      <c r="L223" s="34" t="n">
        <v>35</v>
      </c>
      <c r="M223" s="5" t="inlineStr">
        <is>
          <t>2026-10-14</t>
        </is>
      </c>
    </row>
    <row r="224">
      <c r="A224" s="5" t="inlineStr">
        <is>
          <t>spending_top_payees</t>
        </is>
      </c>
      <c r="B224" s="5" t="n">
        <v>2026</v>
      </c>
      <c r="C224" s="5" t="inlineStr">
        <is>
          <t>Bob Brooks</t>
        </is>
      </c>
      <c r="D224" s="5" t="inlineStr">
        <is>
          <t>DEM</t>
        </is>
      </c>
      <c r="E224" s="5" t="n"/>
      <c r="F224" s="5" t="inlineStr">
        <is>
          <t>Fundraising</t>
        </is>
      </c>
      <c r="G224" s="5" t="inlineStr">
        <is>
          <t>ACTBLUE TECHNICAL SERVICES</t>
        </is>
      </c>
      <c r="H224" s="5" t="n"/>
      <c r="I224" s="5" t="inlineStr">
        <is>
          <t>WEST SOMERVILLE</t>
        </is>
      </c>
      <c r="J224" s="5" t="inlineStr">
        <is>
          <t>MA</t>
        </is>
      </c>
      <c r="K224" s="33" t="n">
        <v>54605.66</v>
      </c>
      <c r="L224" s="34" t="n">
        <v>76</v>
      </c>
      <c r="M224" s="5" t="inlineStr">
        <is>
          <t>2026-10-14</t>
        </is>
      </c>
    </row>
    <row r="225">
      <c r="A225" s="5" t="inlineStr">
        <is>
          <t>spending_top_payees</t>
        </is>
      </c>
      <c r="B225" s="5" t="n">
        <v>2026</v>
      </c>
      <c r="C225" s="5" t="inlineStr">
        <is>
          <t>Bob Brooks</t>
        </is>
      </c>
      <c r="D225" s="5" t="inlineStr">
        <is>
          <t>DEM</t>
        </is>
      </c>
      <c r="E225" s="5" t="n"/>
      <c r="F225" s="5" t="inlineStr">
        <is>
          <t>Polling and research</t>
        </is>
      </c>
      <c r="G225" s="5" t="inlineStr">
        <is>
          <t>ARC INITIATIVES</t>
        </is>
      </c>
      <c r="H225" s="5" t="n"/>
      <c r="I225" s="5" t="inlineStr">
        <is>
          <t>WASHINGTON</t>
        </is>
      </c>
      <c r="J225" s="5" t="inlineStr">
        <is>
          <t>DC</t>
        </is>
      </c>
      <c r="K225" s="33" t="n">
        <v>35000</v>
      </c>
      <c r="L225" s="34" t="n">
        <v>7</v>
      </c>
      <c r="M225" s="5" t="inlineStr">
        <is>
          <t>2026-10-14</t>
        </is>
      </c>
    </row>
    <row r="226">
      <c r="A226" s="5" t="inlineStr">
        <is>
          <t>spending_top_payees</t>
        </is>
      </c>
      <c r="B226" s="5" t="n">
        <v>2026</v>
      </c>
      <c r="C226" s="5" t="inlineStr">
        <is>
          <t>Bob Brooks</t>
        </is>
      </c>
      <c r="D226" s="5" t="inlineStr">
        <is>
          <t>DEM</t>
        </is>
      </c>
      <c r="E226" s="5" t="n"/>
      <c r="F226" s="5" t="inlineStr">
        <is>
          <t>Digital advertising</t>
        </is>
      </c>
      <c r="G226" s="5" t="inlineStr">
        <is>
          <t>TRUE BLUE DIGITAL</t>
        </is>
      </c>
      <c r="H226" s="5" t="n"/>
      <c r="I226" s="5" t="inlineStr">
        <is>
          <t>CHICAGO</t>
        </is>
      </c>
      <c r="J226" s="5" t="inlineStr">
        <is>
          <t>IL</t>
        </is>
      </c>
      <c r="K226" s="33" t="n">
        <v>34817.13</v>
      </c>
      <c r="L226" s="34" t="n">
        <v>8</v>
      </c>
      <c r="M226" s="5" t="inlineStr">
        <is>
          <t>2026-10-14</t>
        </is>
      </c>
    </row>
    <row r="227">
      <c r="A227" s="5" t="inlineStr">
        <is>
          <t>spending_top_payees</t>
        </is>
      </c>
      <c r="B227" s="5" t="n">
        <v>2026</v>
      </c>
      <c r="C227" s="5" t="inlineStr">
        <is>
          <t>Bob Brooks</t>
        </is>
      </c>
      <c r="D227" s="5" t="inlineStr">
        <is>
          <t>DEM</t>
        </is>
      </c>
      <c r="E227" s="5" t="n"/>
      <c r="F227" s="5" t="inlineStr">
        <is>
          <t>Office and administrative</t>
        </is>
      </c>
      <c r="G227" s="5" t="inlineStr">
        <is>
          <t>NGP VAN</t>
        </is>
      </c>
      <c r="H227" s="5" t="n"/>
      <c r="I227" s="5" t="inlineStr">
        <is>
          <t>AUSTIN</t>
        </is>
      </c>
      <c r="J227" s="5" t="inlineStr">
        <is>
          <t>TX</t>
        </is>
      </c>
      <c r="K227" s="33" t="n">
        <v>31749.04</v>
      </c>
      <c r="L227" s="34" t="n">
        <v>5</v>
      </c>
      <c r="M227" s="5" t="inlineStr">
        <is>
          <t>2026-10-14</t>
        </is>
      </c>
    </row>
    <row r="228">
      <c r="A228" s="5" t="inlineStr">
        <is>
          <t>spending_top_payees</t>
        </is>
      </c>
      <c r="B228" s="5" t="n">
        <v>2026</v>
      </c>
      <c r="C228" s="5" t="inlineStr">
        <is>
          <t>Bob Brooks</t>
        </is>
      </c>
      <c r="D228" s="5" t="inlineStr">
        <is>
          <t>DEM</t>
        </is>
      </c>
      <c r="E228" s="5" t="n"/>
      <c r="F228" s="5" t="inlineStr">
        <is>
          <t>Office and administrative</t>
        </is>
      </c>
      <c r="G228" s="5" t="inlineStr">
        <is>
          <t>CFO COMPLIANCE</t>
        </is>
      </c>
      <c r="H228" s="5" t="n"/>
      <c r="I228" s="5" t="inlineStr">
        <is>
          <t>PROVIDENCE</t>
        </is>
      </c>
      <c r="J228" s="5" t="inlineStr">
        <is>
          <t>RI</t>
        </is>
      </c>
      <c r="K228" s="33" t="n">
        <v>26182.97</v>
      </c>
      <c r="L228" s="34" t="n">
        <v>9</v>
      </c>
      <c r="M228" s="5" t="inlineStr">
        <is>
          <t>2026-10-14</t>
        </is>
      </c>
    </row>
    <row r="229">
      <c r="A229" s="5" t="inlineStr">
        <is>
          <t>spending_top_payees</t>
        </is>
      </c>
      <c r="B229" s="5" t="n">
        <v>2026</v>
      </c>
      <c r="C229" s="5" t="inlineStr">
        <is>
          <t>Bob Brooks</t>
        </is>
      </c>
      <c r="D229" s="5" t="inlineStr">
        <is>
          <t>DEM</t>
        </is>
      </c>
      <c r="E229" s="5" t="n"/>
      <c r="F229" s="5" t="inlineStr">
        <is>
          <t>Staff and payroll</t>
        </is>
      </c>
      <c r="G229" s="5" t="inlineStr">
        <is>
          <t>WRIGLEY, JOHN</t>
        </is>
      </c>
      <c r="H229" s="5" t="n"/>
      <c r="I229" s="5" t="inlineStr">
        <is>
          <t>ALLENTOWN</t>
        </is>
      </c>
      <c r="J229" s="5" t="inlineStr">
        <is>
          <t>PA</t>
        </is>
      </c>
      <c r="K229" s="33" t="n">
        <v>22312</v>
      </c>
      <c r="L229" s="34" t="n">
        <v>8</v>
      </c>
      <c r="M229" s="5" t="inlineStr">
        <is>
          <t>2026-10-14</t>
        </is>
      </c>
    </row>
    <row r="230">
      <c r="A230" s="5" t="inlineStr">
        <is>
          <t>spending_top_payees</t>
        </is>
      </c>
      <c r="B230" s="5" t="n">
        <v>2026</v>
      </c>
      <c r="C230" s="5" t="inlineStr">
        <is>
          <t>Bob Brooks</t>
        </is>
      </c>
      <c r="D230" s="5" t="inlineStr">
        <is>
          <t>DEM</t>
        </is>
      </c>
      <c r="E230" s="5" t="n"/>
      <c r="F230" s="5" t="inlineStr">
        <is>
          <t>Fundraising</t>
        </is>
      </c>
      <c r="G230" s="5" t="inlineStr">
        <is>
          <t>GRASSROOTS ANALYTICS</t>
        </is>
      </c>
      <c r="H230" s="5" t="n"/>
      <c r="I230" s="5" t="inlineStr">
        <is>
          <t>WASHINGTON</t>
        </is>
      </c>
      <c r="J230" s="5" t="inlineStr">
        <is>
          <t>DC</t>
        </is>
      </c>
      <c r="K230" s="33" t="n">
        <v>17832.07</v>
      </c>
      <c r="L230" s="34" t="n">
        <v>12</v>
      </c>
      <c r="M230" s="5" t="inlineStr">
        <is>
          <t>2026-10-14</t>
        </is>
      </c>
    </row>
    <row r="231">
      <c r="A231" s="5" t="inlineStr">
        <is>
          <t>spending_top_payees</t>
        </is>
      </c>
      <c r="B231" s="5" t="n">
        <v>2026</v>
      </c>
      <c r="C231" s="5" t="inlineStr">
        <is>
          <t>Bob Brooks</t>
        </is>
      </c>
      <c r="D231" s="5" t="inlineStr">
        <is>
          <t>DEM</t>
        </is>
      </c>
      <c r="E231" s="5" t="n"/>
      <c r="F231" s="5" t="inlineStr">
        <is>
          <t>Field, phones and texting</t>
        </is>
      </c>
      <c r="G231" s="5" t="inlineStr">
        <is>
          <t>MCCOACH, JAKE</t>
        </is>
      </c>
      <c r="H231" s="5" t="n"/>
      <c r="I231" s="5" t="inlineStr">
        <is>
          <t>FREEPORT</t>
        </is>
      </c>
      <c r="J231" s="5" t="inlineStr">
        <is>
          <t>PA</t>
        </is>
      </c>
      <c r="K231" s="33" t="n">
        <v>15000</v>
      </c>
      <c r="L231" s="34" t="n">
        <v>3</v>
      </c>
      <c r="M231" s="5" t="inlineStr">
        <is>
          <t>2026-10-14</t>
        </is>
      </c>
    </row>
    <row r="232">
      <c r="A232" s="5" t="inlineStr">
        <is>
          <t>spending_top_payees</t>
        </is>
      </c>
      <c r="B232" s="5" t="n">
        <v>2026</v>
      </c>
      <c r="C232" s="5" t="inlineStr">
        <is>
          <t>Bob Brooks</t>
        </is>
      </c>
      <c r="D232" s="5" t="inlineStr">
        <is>
          <t>DEM</t>
        </is>
      </c>
      <c r="E232" s="5" t="n"/>
      <c r="F232" s="5" t="inlineStr">
        <is>
          <t>Field, phones and texting</t>
        </is>
      </c>
      <c r="G232" s="5" t="inlineStr">
        <is>
          <t>SEIU PENNSYLVANIA STATE COUNCIL</t>
        </is>
      </c>
      <c r="H232" s="5" t="n"/>
      <c r="I232" s="5" t="inlineStr">
        <is>
          <t>HARRISBURG</t>
        </is>
      </c>
      <c r="J232" s="5" t="inlineStr">
        <is>
          <t>PA</t>
        </is>
      </c>
      <c r="K232" s="33" t="n">
        <v>15000</v>
      </c>
      <c r="L232" s="34" t="n">
        <v>1</v>
      </c>
      <c r="M232" s="5" t="inlineStr">
        <is>
          <t>2026-10-14</t>
        </is>
      </c>
    </row>
    <row r="233">
      <c r="A233" s="5" t="inlineStr">
        <is>
          <t>spending_top_payees</t>
        </is>
      </c>
      <c r="B233" s="5" t="n">
        <v>2026</v>
      </c>
      <c r="C233" s="5" t="inlineStr">
        <is>
          <t>Bob Brooks</t>
        </is>
      </c>
      <c r="D233" s="5" t="inlineStr">
        <is>
          <t>DEM</t>
        </is>
      </c>
      <c r="E233" s="5" t="n"/>
      <c r="F233" s="5" t="inlineStr">
        <is>
          <t>Digital advertising</t>
        </is>
      </c>
      <c r="G233" s="5" t="inlineStr">
        <is>
          <t>SOUTH STREET DIGITAL</t>
        </is>
      </c>
      <c r="H233" s="5" t="n"/>
      <c r="I233" s="5" t="inlineStr">
        <is>
          <t>PHILADELPHIA</t>
        </is>
      </c>
      <c r="J233" s="5" t="inlineStr">
        <is>
          <t>PA</t>
        </is>
      </c>
      <c r="K233" s="33" t="n">
        <v>14003.2</v>
      </c>
      <c r="L233" s="34" t="n">
        <v>3</v>
      </c>
      <c r="M233" s="5" t="inlineStr">
        <is>
          <t>2026-10-14</t>
        </is>
      </c>
    </row>
    <row r="234">
      <c r="A234" s="5" t="inlineStr">
        <is>
          <t>spending_by_payee_state</t>
        </is>
      </c>
      <c r="B234" s="5" t="n">
        <v>2026</v>
      </c>
      <c r="C234" s="5" t="inlineStr">
        <is>
          <t>Bob Brooks</t>
        </is>
      </c>
      <c r="D234" s="5" t="inlineStr">
        <is>
          <t>DEM</t>
        </is>
      </c>
      <c r="E234" s="5" t="n"/>
      <c r="F234" s="5" t="n"/>
      <c r="G234" s="5" t="n"/>
      <c r="H234" s="5" t="n"/>
      <c r="I234" s="5" t="n"/>
      <c r="J234" s="5" t="inlineStr">
        <is>
          <t>PA</t>
        </is>
      </c>
      <c r="K234" s="33" t="n">
        <v>798926.02</v>
      </c>
      <c r="L234" s="34" t="n">
        <v>101</v>
      </c>
      <c r="M234" s="5" t="inlineStr">
        <is>
          <t>2026-10-14</t>
        </is>
      </c>
    </row>
    <row r="235">
      <c r="A235" s="5" t="inlineStr">
        <is>
          <t>spending_by_payee_state</t>
        </is>
      </c>
      <c r="B235" s="5" t="n">
        <v>2026</v>
      </c>
      <c r="C235" s="5" t="inlineStr">
        <is>
          <t>Bob Brooks</t>
        </is>
      </c>
      <c r="D235" s="5" t="inlineStr">
        <is>
          <t>DEM</t>
        </is>
      </c>
      <c r="E235" s="5" t="n"/>
      <c r="F235" s="5" t="n"/>
      <c r="G235" s="5" t="n"/>
      <c r="H235" s="5" t="n"/>
      <c r="I235" s="5" t="n"/>
      <c r="J235" s="5" t="inlineStr">
        <is>
          <t>DC</t>
        </is>
      </c>
      <c r="K235" s="33" t="n">
        <v>274955.33</v>
      </c>
      <c r="L235" s="34" t="n">
        <v>64</v>
      </c>
      <c r="M235" s="5" t="inlineStr">
        <is>
          <t>2026-10-14</t>
        </is>
      </c>
    </row>
    <row r="236">
      <c r="A236" s="5" t="inlineStr">
        <is>
          <t>spending_by_payee_state</t>
        </is>
      </c>
      <c r="B236" s="5" t="n">
        <v>2026</v>
      </c>
      <c r="C236" s="5" t="inlineStr">
        <is>
          <t>Bob Brooks</t>
        </is>
      </c>
      <c r="D236" s="5" t="inlineStr">
        <is>
          <t>DEM</t>
        </is>
      </c>
      <c r="E236" s="5" t="n"/>
      <c r="F236" s="5" t="n"/>
      <c r="G236" s="5" t="n"/>
      <c r="H236" s="5" t="n"/>
      <c r="I236" s="5" t="n"/>
      <c r="J236" s="5" t="inlineStr">
        <is>
          <t>NY</t>
        </is>
      </c>
      <c r="K236" s="33" t="n">
        <v>69953.94</v>
      </c>
      <c r="L236" s="34" t="n">
        <v>44</v>
      </c>
      <c r="M236" s="5" t="inlineStr">
        <is>
          <t>2026-10-14</t>
        </is>
      </c>
    </row>
    <row r="237">
      <c r="A237" s="5" t="inlineStr">
        <is>
          <t>spending_by_payee_state</t>
        </is>
      </c>
      <c r="B237" s="5" t="n">
        <v>2026</v>
      </c>
      <c r="C237" s="5" t="inlineStr">
        <is>
          <t>Bob Brooks</t>
        </is>
      </c>
      <c r="D237" s="5" t="inlineStr">
        <is>
          <t>DEM</t>
        </is>
      </c>
      <c r="E237" s="5" t="n"/>
      <c r="F237" s="5" t="n"/>
      <c r="G237" s="5" t="n"/>
      <c r="H237" s="5" t="n"/>
      <c r="I237" s="5" t="n"/>
      <c r="J237" s="5" t="inlineStr">
        <is>
          <t>MA</t>
        </is>
      </c>
      <c r="K237" s="33" t="n">
        <v>57354.54</v>
      </c>
      <c r="L237" s="34" t="n">
        <v>82</v>
      </c>
      <c r="M237" s="5" t="inlineStr">
        <is>
          <t>2026-10-14</t>
        </is>
      </c>
    </row>
    <row r="238">
      <c r="A238" s="5" t="inlineStr">
        <is>
          <t>spending_by_payee_state</t>
        </is>
      </c>
      <c r="B238" s="5" t="n">
        <v>2026</v>
      </c>
      <c r="C238" s="5" t="inlineStr">
        <is>
          <t>Bob Brooks</t>
        </is>
      </c>
      <c r="D238" s="5" t="inlineStr">
        <is>
          <t>DEM</t>
        </is>
      </c>
      <c r="E238" s="5" t="n"/>
      <c r="F238" s="5" t="n"/>
      <c r="G238" s="5" t="n"/>
      <c r="H238" s="5" t="n"/>
      <c r="I238" s="5" t="n"/>
      <c r="J238" s="5" t="inlineStr">
        <is>
          <t>CA</t>
        </is>
      </c>
      <c r="K238" s="33" t="n">
        <v>39080.7</v>
      </c>
      <c r="L238" s="34" t="n">
        <v>35</v>
      </c>
      <c r="M238" s="5" t="inlineStr">
        <is>
          <t>2026-10-14</t>
        </is>
      </c>
    </row>
    <row r="239">
      <c r="A239" s="5" t="inlineStr">
        <is>
          <t>spending_by_payee_state</t>
        </is>
      </c>
      <c r="B239" s="5" t="n">
        <v>2026</v>
      </c>
      <c r="C239" s="5" t="inlineStr">
        <is>
          <t>Bob Brooks</t>
        </is>
      </c>
      <c r="D239" s="5" t="inlineStr">
        <is>
          <t>DEM</t>
        </is>
      </c>
      <c r="E239" s="5" t="n"/>
      <c r="F239" s="5" t="n"/>
      <c r="G239" s="5" t="n"/>
      <c r="H239" s="5" t="n"/>
      <c r="I239" s="5" t="n"/>
      <c r="J239" s="5" t="inlineStr">
        <is>
          <t>IL</t>
        </is>
      </c>
      <c r="K239" s="33" t="n">
        <v>35315.53</v>
      </c>
      <c r="L239" s="34" t="n">
        <v>9</v>
      </c>
      <c r="M239" s="5" t="inlineStr">
        <is>
          <t>2026-10-14</t>
        </is>
      </c>
    </row>
    <row r="240">
      <c r="A240" s="5" t="inlineStr">
        <is>
          <t>spending_by_payee_state</t>
        </is>
      </c>
      <c r="B240" s="5" t="n">
        <v>2026</v>
      </c>
      <c r="C240" s="5" t="inlineStr">
        <is>
          <t>Bob Brooks</t>
        </is>
      </c>
      <c r="D240" s="5" t="inlineStr">
        <is>
          <t>DEM</t>
        </is>
      </c>
      <c r="E240" s="5" t="n"/>
      <c r="F240" s="5" t="n"/>
      <c r="G240" s="5" t="n"/>
      <c r="H240" s="5" t="n"/>
      <c r="I240" s="5" t="n"/>
      <c r="J240" s="5" t="inlineStr">
        <is>
          <t>TX</t>
        </is>
      </c>
      <c r="K240" s="33" t="n">
        <v>32737.44</v>
      </c>
      <c r="L240" s="34" t="n">
        <v>7</v>
      </c>
      <c r="M240" s="5" t="inlineStr">
        <is>
          <t>2026-10-14</t>
        </is>
      </c>
    </row>
    <row r="241">
      <c r="A241" s="5" t="inlineStr">
        <is>
          <t>spending_by_payee_state</t>
        </is>
      </c>
      <c r="B241" s="5" t="n">
        <v>2026</v>
      </c>
      <c r="C241" s="5" t="inlineStr">
        <is>
          <t>Bob Brooks</t>
        </is>
      </c>
      <c r="D241" s="5" t="inlineStr">
        <is>
          <t>DEM</t>
        </is>
      </c>
      <c r="E241" s="5" t="n"/>
      <c r="F241" s="5" t="n"/>
      <c r="G241" s="5" t="n"/>
      <c r="H241" s="5" t="n"/>
      <c r="I241" s="5" t="n"/>
      <c r="J241" s="5" t="inlineStr">
        <is>
          <t>RI</t>
        </is>
      </c>
      <c r="K241" s="33" t="n">
        <v>26182.97</v>
      </c>
      <c r="L241" s="34" t="n">
        <v>9</v>
      </c>
      <c r="M241" s="5" t="inlineStr">
        <is>
          <t>2026-10-14</t>
        </is>
      </c>
    </row>
    <row r="242">
      <c r="A242" s="5" t="inlineStr">
        <is>
          <t>spending_by_payee_state</t>
        </is>
      </c>
      <c r="B242" s="5" t="n">
        <v>2026</v>
      </c>
      <c r="C242" s="5" t="inlineStr">
        <is>
          <t>Bob Brooks</t>
        </is>
      </c>
      <c r="D242" s="5" t="inlineStr">
        <is>
          <t>DEM</t>
        </is>
      </c>
      <c r="E242" s="5" t="n"/>
      <c r="F242" s="5" t="n"/>
      <c r="G242" s="5" t="n"/>
      <c r="H242" s="5" t="n"/>
      <c r="I242" s="5" t="n"/>
      <c r="J242" s="5" t="inlineStr">
        <is>
          <t>MD</t>
        </is>
      </c>
      <c r="K242" s="33" t="n">
        <v>20343.22</v>
      </c>
      <c r="L242" s="34" t="n">
        <v>16</v>
      </c>
      <c r="M242" s="5" t="inlineStr">
        <is>
          <t>2026-10-14</t>
        </is>
      </c>
    </row>
    <row r="243">
      <c r="A243" s="5" t="inlineStr">
        <is>
          <t>spending_by_payee_state</t>
        </is>
      </c>
      <c r="B243" s="5" t="n">
        <v>2026</v>
      </c>
      <c r="C243" s="5" t="inlineStr">
        <is>
          <t>Bob Brooks</t>
        </is>
      </c>
      <c r="D243" s="5" t="inlineStr">
        <is>
          <t>DEM</t>
        </is>
      </c>
      <c r="E243" s="5" t="n"/>
      <c r="F243" s="5" t="n"/>
      <c r="G243" s="5" t="n"/>
      <c r="H243" s="5" t="n"/>
      <c r="I243" s="5" t="n"/>
      <c r="J243" s="5" t="inlineStr">
        <is>
          <t>DE</t>
        </is>
      </c>
      <c r="K243" s="33" t="n">
        <v>7398.65</v>
      </c>
      <c r="L243" s="34" t="n">
        <v>27</v>
      </c>
      <c r="M243" s="5" t="inlineStr">
        <is>
          <t>2026-10-14</t>
        </is>
      </c>
    </row>
    <row r="244">
      <c r="A244" s="5" t="inlineStr">
        <is>
          <t>spending_by_payee_state</t>
        </is>
      </c>
      <c r="B244" s="5" t="n">
        <v>2026</v>
      </c>
      <c r="C244" s="5" t="inlineStr">
        <is>
          <t>Bob Brooks</t>
        </is>
      </c>
      <c r="D244" s="5" t="inlineStr">
        <is>
          <t>DEM</t>
        </is>
      </c>
      <c r="E244" s="5" t="n"/>
      <c r="F244" s="5" t="n"/>
      <c r="G244" s="5" t="n"/>
      <c r="H244" s="5" t="n"/>
      <c r="I244" s="5" t="n"/>
      <c r="J244" s="5" t="inlineStr">
        <is>
          <t>WA</t>
        </is>
      </c>
      <c r="K244" s="33" t="n">
        <v>2217.46</v>
      </c>
      <c r="L244" s="34" t="n">
        <v>1</v>
      </c>
      <c r="M244" s="5" t="inlineStr">
        <is>
          <t>2026-10-14</t>
        </is>
      </c>
    </row>
    <row r="245">
      <c r="A245" s="5" t="inlineStr">
        <is>
          <t>spending_by_payee_state</t>
        </is>
      </c>
      <c r="B245" s="5" t="n">
        <v>2026</v>
      </c>
      <c r="C245" s="5" t="inlineStr">
        <is>
          <t>Bob Brooks</t>
        </is>
      </c>
      <c r="D245" s="5" t="inlineStr">
        <is>
          <t>DEM</t>
        </is>
      </c>
      <c r="E245" s="5" t="n"/>
      <c r="F245" s="5" t="n"/>
      <c r="G245" s="5" t="n"/>
      <c r="H245" s="5" t="n"/>
      <c r="I245" s="5" t="n"/>
      <c r="J245" s="5" t="inlineStr">
        <is>
          <t>VA</t>
        </is>
      </c>
      <c r="K245" s="33" t="n">
        <v>1000</v>
      </c>
      <c r="L245" s="34" t="n">
        <v>1</v>
      </c>
      <c r="M245" s="5" t="inlineStr">
        <is>
          <t>2026-10-14</t>
        </is>
      </c>
    </row>
    <row r="246">
      <c r="A246" s="5" t="inlineStr">
        <is>
          <t>spending_by_payee_state</t>
        </is>
      </c>
      <c r="B246" s="5" t="n">
        <v>2026</v>
      </c>
      <c r="C246" s="5" t="inlineStr">
        <is>
          <t>Bob Brooks</t>
        </is>
      </c>
      <c r="D246" s="5" t="inlineStr">
        <is>
          <t>DEM</t>
        </is>
      </c>
      <c r="E246" s="5" t="n"/>
      <c r="F246" s="5" t="n"/>
      <c r="G246" s="5" t="n"/>
      <c r="H246" s="5" t="n"/>
      <c r="I246" s="5" t="n"/>
      <c r="J246" s="5" t="inlineStr">
        <is>
          <t>IA</t>
        </is>
      </c>
      <c r="K246" s="33" t="n">
        <v>800</v>
      </c>
      <c r="L246" s="34" t="n">
        <v>1</v>
      </c>
      <c r="M246" s="5" t="inlineStr">
        <is>
          <t>2026-10-14</t>
        </is>
      </c>
    </row>
    <row r="247">
      <c r="A247" s="5" t="inlineStr">
        <is>
          <t>spending_by_payee_state</t>
        </is>
      </c>
      <c r="B247" s="5" t="n">
        <v>2026</v>
      </c>
      <c r="C247" s="5" t="inlineStr">
        <is>
          <t>Bob Brooks</t>
        </is>
      </c>
      <c r="D247" s="5" t="inlineStr">
        <is>
          <t>DEM</t>
        </is>
      </c>
      <c r="E247" s="5" t="n"/>
      <c r="F247" s="5" t="n"/>
      <c r="G247" s="5" t="n"/>
      <c r="H247" s="5" t="n"/>
      <c r="I247" s="5" t="n"/>
      <c r="J247" s="5" t="inlineStr">
        <is>
          <t>TN</t>
        </is>
      </c>
      <c r="K247" s="33" t="n">
        <v>750</v>
      </c>
      <c r="L247" s="34" t="n">
        <v>1</v>
      </c>
      <c r="M247" s="5" t="inlineStr">
        <is>
          <t>2026-10-14</t>
        </is>
      </c>
    </row>
    <row r="248">
      <c r="A248" s="5" t="inlineStr">
        <is>
          <t>spending_by_payee_state</t>
        </is>
      </c>
      <c r="B248" s="5" t="n">
        <v>2026</v>
      </c>
      <c r="C248" s="5" t="inlineStr">
        <is>
          <t>Bob Brooks</t>
        </is>
      </c>
      <c r="D248" s="5" t="inlineStr">
        <is>
          <t>DEM</t>
        </is>
      </c>
      <c r="E248" s="5" t="n"/>
      <c r="F248" s="5" t="n"/>
      <c r="G248" s="5" t="n"/>
      <c r="H248" s="5" t="n"/>
      <c r="I248" s="5" t="n"/>
      <c r="J248" s="5" t="inlineStr">
        <is>
          <t>CT</t>
        </is>
      </c>
      <c r="K248" s="33" t="n">
        <v>500</v>
      </c>
      <c r="L248" s="34" t="n">
        <v>2</v>
      </c>
      <c r="M248" s="5" t="inlineStr">
        <is>
          <t>2026-10-14</t>
        </is>
      </c>
    </row>
    <row r="249">
      <c r="A249" s="5" t="inlineStr">
        <is>
          <t>spending_by_payee_state</t>
        </is>
      </c>
      <c r="B249" s="5" t="n">
        <v>2026</v>
      </c>
      <c r="C249" s="5" t="inlineStr">
        <is>
          <t>Bob Brooks</t>
        </is>
      </c>
      <c r="D249" s="5" t="inlineStr">
        <is>
          <t>DEM</t>
        </is>
      </c>
      <c r="E249" s="5" t="n"/>
      <c r="F249" s="5" t="n"/>
      <c r="G249" s="5" t="n"/>
      <c r="H249" s="5" t="n"/>
      <c r="I249" s="5" t="n"/>
      <c r="J249" s="5" t="inlineStr">
        <is>
          <t>IN</t>
        </is>
      </c>
      <c r="K249" s="33" t="n">
        <v>450</v>
      </c>
      <c r="L249" s="34" t="n">
        <v>1</v>
      </c>
      <c r="M249" s="5" t="inlineStr">
        <is>
          <t>2026-10-14</t>
        </is>
      </c>
    </row>
    <row r="250">
      <c r="A250" s="5" t="inlineStr">
        <is>
          <t>spending_by_payee_state</t>
        </is>
      </c>
      <c r="B250" s="5" t="n">
        <v>2026</v>
      </c>
      <c r="C250" s="5" t="inlineStr">
        <is>
          <t>Bob Brooks</t>
        </is>
      </c>
      <c r="D250" s="5" t="inlineStr">
        <is>
          <t>DEM</t>
        </is>
      </c>
      <c r="E250" s="5" t="n"/>
      <c r="F250" s="5" t="n"/>
      <c r="G250" s="5" t="n"/>
      <c r="H250" s="5" t="n"/>
      <c r="I250" s="5" t="n"/>
      <c r="J250" s="5" t="inlineStr">
        <is>
          <t>AR</t>
        </is>
      </c>
      <c r="K250" s="33" t="n">
        <v>382.03</v>
      </c>
      <c r="L250" s="34" t="n">
        <v>1</v>
      </c>
      <c r="M250" s="5" t="inlineStr">
        <is>
          <t>2026-10-14</t>
        </is>
      </c>
    </row>
    <row r="251">
      <c r="A251" s="5" t="inlineStr">
        <is>
          <t>spending_by_payee_state</t>
        </is>
      </c>
      <c r="B251" s="5" t="n">
        <v>2026</v>
      </c>
      <c r="C251" s="5" t="inlineStr">
        <is>
          <t>Bob Brooks</t>
        </is>
      </c>
      <c r="D251" s="5" t="inlineStr">
        <is>
          <t>DEM</t>
        </is>
      </c>
      <c r="E251" s="5" t="n"/>
      <c r="F251" s="5" t="n"/>
      <c r="G251" s="5" t="n"/>
      <c r="H251" s="5" t="n"/>
      <c r="I251" s="5" t="n"/>
      <c r="J251" s="5" t="inlineStr">
        <is>
          <t>KY</t>
        </is>
      </c>
      <c r="K251" s="33" t="n">
        <v>307.54</v>
      </c>
      <c r="L251" s="34" t="n">
        <v>2</v>
      </c>
      <c r="M251" s="5" t="inlineStr">
        <is>
          <t>2026-10-14</t>
        </is>
      </c>
    </row>
    <row r="252">
      <c r="A252" s="5" t="inlineStr">
        <is>
          <t>contributions_by_state</t>
        </is>
      </c>
      <c r="B252" s="5" t="n">
        <v>2026</v>
      </c>
      <c r="C252" s="5" t="inlineStr">
        <is>
          <t>Bob Brooks</t>
        </is>
      </c>
      <c r="D252" s="5" t="inlineStr">
        <is>
          <t>DEM</t>
        </is>
      </c>
      <c r="E252" s="5" t="n"/>
      <c r="F252" s="5" t="n"/>
      <c r="G252" s="5" t="n"/>
      <c r="H252" s="5" t="n"/>
      <c r="I252" s="5" t="n"/>
      <c r="J252" s="5" t="inlineStr">
        <is>
          <t>PA</t>
        </is>
      </c>
      <c r="K252" s="33" t="n">
        <v>290329.06</v>
      </c>
      <c r="L252" s="34" t="n">
        <v>687</v>
      </c>
      <c r="M252" s="5" t="inlineStr">
        <is>
          <t>2026-10-14</t>
        </is>
      </c>
    </row>
    <row r="253">
      <c r="A253" s="5" t="inlineStr">
        <is>
          <t>contributions_by_state</t>
        </is>
      </c>
      <c r="B253" s="5" t="n">
        <v>2026</v>
      </c>
      <c r="C253" s="5" t="inlineStr">
        <is>
          <t>Bob Brooks</t>
        </is>
      </c>
      <c r="D253" s="5" t="inlineStr">
        <is>
          <t>DEM</t>
        </is>
      </c>
      <c r="E253" s="5" t="n"/>
      <c r="F253" s="5" t="n"/>
      <c r="G253" s="5" t="n"/>
      <c r="H253" s="5" t="n"/>
      <c r="I253" s="5" t="n"/>
      <c r="J253" s="5" t="inlineStr">
        <is>
          <t>NY</t>
        </is>
      </c>
      <c r="K253" s="33" t="n">
        <v>275445.73</v>
      </c>
      <c r="L253" s="34" t="n">
        <v>206</v>
      </c>
      <c r="M253" s="5" t="inlineStr">
        <is>
          <t>2026-10-14</t>
        </is>
      </c>
    </row>
    <row r="254">
      <c r="A254" s="5" t="inlineStr">
        <is>
          <t>contributions_by_state</t>
        </is>
      </c>
      <c r="B254" s="5" t="n">
        <v>2026</v>
      </c>
      <c r="C254" s="5" t="inlineStr">
        <is>
          <t>Bob Brooks</t>
        </is>
      </c>
      <c r="D254" s="5" t="inlineStr">
        <is>
          <t>DEM</t>
        </is>
      </c>
      <c r="E254" s="5" t="n"/>
      <c r="F254" s="5" t="n"/>
      <c r="G254" s="5" t="n"/>
      <c r="H254" s="5" t="n"/>
      <c r="I254" s="5" t="n"/>
      <c r="J254" s="5" t="inlineStr">
        <is>
          <t>CA</t>
        </is>
      </c>
      <c r="K254" s="33" t="n">
        <v>232104.2</v>
      </c>
      <c r="L254" s="34" t="n">
        <v>317</v>
      </c>
      <c r="M254" s="5" t="inlineStr">
        <is>
          <t>2026-10-14</t>
        </is>
      </c>
    </row>
    <row r="255">
      <c r="A255" s="5" t="inlineStr">
        <is>
          <t>contributions_by_state</t>
        </is>
      </c>
      <c r="B255" s="5" t="n">
        <v>2026</v>
      </c>
      <c r="C255" s="5" t="inlineStr">
        <is>
          <t>Bob Brooks</t>
        </is>
      </c>
      <c r="D255" s="5" t="inlineStr">
        <is>
          <t>DEM</t>
        </is>
      </c>
      <c r="E255" s="5" t="n"/>
      <c r="F255" s="5" t="n"/>
      <c r="G255" s="5" t="n"/>
      <c r="H255" s="5" t="n"/>
      <c r="I255" s="5" t="n"/>
      <c r="J255" s="5" t="inlineStr">
        <is>
          <t>MA</t>
        </is>
      </c>
      <c r="K255" s="33" t="n">
        <v>162959.5</v>
      </c>
      <c r="L255" s="34" t="n">
        <v>254</v>
      </c>
      <c r="M255" s="5" t="inlineStr">
        <is>
          <t>2026-10-14</t>
        </is>
      </c>
    </row>
    <row r="256">
      <c r="A256" s="5" t="inlineStr">
        <is>
          <t>contributions_by_state</t>
        </is>
      </c>
      <c r="B256" s="5" t="n">
        <v>2026</v>
      </c>
      <c r="C256" s="5" t="inlineStr">
        <is>
          <t>Bob Brooks</t>
        </is>
      </c>
      <c r="D256" s="5" t="inlineStr">
        <is>
          <t>DEM</t>
        </is>
      </c>
      <c r="E256" s="5" t="n"/>
      <c r="F256" s="5" t="n"/>
      <c r="G256" s="5" t="n"/>
      <c r="H256" s="5" t="n"/>
      <c r="I256" s="5" t="n"/>
      <c r="J256" s="5" t="inlineStr">
        <is>
          <t>DC</t>
        </is>
      </c>
      <c r="K256" s="33" t="n">
        <v>50799.84</v>
      </c>
      <c r="L256" s="34" t="n">
        <v>70</v>
      </c>
      <c r="M256" s="5" t="inlineStr">
        <is>
          <t>2026-10-14</t>
        </is>
      </c>
    </row>
    <row r="257">
      <c r="A257" s="5" t="inlineStr">
        <is>
          <t>contributions_by_state</t>
        </is>
      </c>
      <c r="B257" s="5" t="n">
        <v>2026</v>
      </c>
      <c r="C257" s="5" t="inlineStr">
        <is>
          <t>Bob Brooks</t>
        </is>
      </c>
      <c r="D257" s="5" t="inlineStr">
        <is>
          <t>DEM</t>
        </is>
      </c>
      <c r="E257" s="5" t="n"/>
      <c r="F257" s="5" t="n"/>
      <c r="G257" s="5" t="n"/>
      <c r="H257" s="5" t="n"/>
      <c r="I257" s="5" t="n"/>
      <c r="J257" s="5" t="inlineStr">
        <is>
          <t>CT</t>
        </is>
      </c>
      <c r="K257" s="33" t="n">
        <v>42688.16</v>
      </c>
      <c r="L257" s="34" t="n">
        <v>41</v>
      </c>
      <c r="M257" s="5" t="inlineStr">
        <is>
          <t>2026-10-14</t>
        </is>
      </c>
    </row>
    <row r="258">
      <c r="A258" s="5" t="inlineStr">
        <is>
          <t>contributions_by_state</t>
        </is>
      </c>
      <c r="B258" s="5" t="n">
        <v>2026</v>
      </c>
      <c r="C258" s="5" t="inlineStr">
        <is>
          <t>Bob Brooks</t>
        </is>
      </c>
      <c r="D258" s="5" t="inlineStr">
        <is>
          <t>DEM</t>
        </is>
      </c>
      <c r="E258" s="5" t="n"/>
      <c r="F258" s="5" t="n"/>
      <c r="G258" s="5" t="n"/>
      <c r="H258" s="5" t="n"/>
      <c r="I258" s="5" t="n"/>
      <c r="J258" s="5" t="inlineStr">
        <is>
          <t>MD</t>
        </is>
      </c>
      <c r="K258" s="33" t="n">
        <v>41642.14</v>
      </c>
      <c r="L258" s="34" t="n">
        <v>81</v>
      </c>
      <c r="M258" s="5" t="inlineStr">
        <is>
          <t>2026-10-14</t>
        </is>
      </c>
    </row>
    <row r="259">
      <c r="A259" s="5" t="inlineStr">
        <is>
          <t>contributions_by_state</t>
        </is>
      </c>
      <c r="B259" s="5" t="n">
        <v>2026</v>
      </c>
      <c r="C259" s="5" t="inlineStr">
        <is>
          <t>Bob Brooks</t>
        </is>
      </c>
      <c r="D259" s="5" t="inlineStr">
        <is>
          <t>DEM</t>
        </is>
      </c>
      <c r="E259" s="5" t="n"/>
      <c r="F259" s="5" t="n"/>
      <c r="G259" s="5" t="n"/>
      <c r="H259" s="5" t="n"/>
      <c r="I259" s="5" t="n"/>
      <c r="J259" s="5" t="inlineStr">
        <is>
          <t>WA</t>
        </is>
      </c>
      <c r="K259" s="33" t="n">
        <v>40327.81</v>
      </c>
      <c r="L259" s="34" t="n">
        <v>46</v>
      </c>
      <c r="M259" s="5" t="inlineStr">
        <is>
          <t>2026-10-14</t>
        </is>
      </c>
    </row>
    <row r="260">
      <c r="A260" s="5" t="inlineStr">
        <is>
          <t>contributions_by_state</t>
        </is>
      </c>
      <c r="B260" s="5" t="n">
        <v>2026</v>
      </c>
      <c r="C260" s="5" t="inlineStr">
        <is>
          <t>Bob Brooks</t>
        </is>
      </c>
      <c r="D260" s="5" t="inlineStr">
        <is>
          <t>DEM</t>
        </is>
      </c>
      <c r="E260" s="5" t="n"/>
      <c r="F260" s="5" t="n"/>
      <c r="G260" s="5" t="n"/>
      <c r="H260" s="5" t="n"/>
      <c r="I260" s="5" t="n"/>
      <c r="J260" s="5" t="inlineStr">
        <is>
          <t>FL</t>
        </is>
      </c>
      <c r="K260" s="33" t="n">
        <v>32808.59</v>
      </c>
      <c r="L260" s="34" t="n">
        <v>42</v>
      </c>
      <c r="M260" s="5" t="inlineStr">
        <is>
          <t>2026-10-14</t>
        </is>
      </c>
    </row>
    <row r="261">
      <c r="A261" s="5" t="inlineStr">
        <is>
          <t>contributions_by_state</t>
        </is>
      </c>
      <c r="B261" s="5" t="n">
        <v>2026</v>
      </c>
      <c r="C261" s="5" t="inlineStr">
        <is>
          <t>Bob Brooks</t>
        </is>
      </c>
      <c r="D261" s="5" t="inlineStr">
        <is>
          <t>DEM</t>
        </is>
      </c>
      <c r="E261" s="5" t="n"/>
      <c r="F261" s="5" t="n"/>
      <c r="G261" s="5" t="n"/>
      <c r="H261" s="5" t="n"/>
      <c r="I261" s="5" t="n"/>
      <c r="J261" s="5" t="inlineStr">
        <is>
          <t>IL</t>
        </is>
      </c>
      <c r="K261" s="33" t="n">
        <v>23197.32</v>
      </c>
      <c r="L261" s="34" t="n">
        <v>43</v>
      </c>
      <c r="M261" s="5" t="inlineStr">
        <is>
          <t>2026-10-14</t>
        </is>
      </c>
    </row>
    <row r="262">
      <c r="A262" s="5" t="inlineStr">
        <is>
          <t>contributions_by_state</t>
        </is>
      </c>
      <c r="B262" s="5" t="n">
        <v>2026</v>
      </c>
      <c r="C262" s="5" t="inlineStr">
        <is>
          <t>Bob Brooks</t>
        </is>
      </c>
      <c r="D262" s="5" t="inlineStr">
        <is>
          <t>DEM</t>
        </is>
      </c>
      <c r="E262" s="5" t="n"/>
      <c r="F262" s="5" t="n"/>
      <c r="G262" s="5" t="n"/>
      <c r="H262" s="5" t="n"/>
      <c r="I262" s="5" t="n"/>
      <c r="J262" s="5" t="inlineStr">
        <is>
          <t>NJ</t>
        </is>
      </c>
      <c r="K262" s="33" t="n">
        <v>20761.76</v>
      </c>
      <c r="L262" s="34" t="n">
        <v>25</v>
      </c>
      <c r="M262" s="5" t="inlineStr">
        <is>
          <t>2026-10-14</t>
        </is>
      </c>
    </row>
    <row r="263">
      <c r="A263" s="5" t="inlineStr">
        <is>
          <t>contributions_by_state</t>
        </is>
      </c>
      <c r="B263" s="5" t="n">
        <v>2026</v>
      </c>
      <c r="C263" s="5" t="inlineStr">
        <is>
          <t>Bob Brooks</t>
        </is>
      </c>
      <c r="D263" s="5" t="inlineStr">
        <is>
          <t>DEM</t>
        </is>
      </c>
      <c r="E263" s="5" t="n"/>
      <c r="F263" s="5" t="n"/>
      <c r="G263" s="5" t="n"/>
      <c r="H263" s="5" t="n"/>
      <c r="I263" s="5" t="n"/>
      <c r="J263" s="5" t="inlineStr">
        <is>
          <t>TX</t>
        </is>
      </c>
      <c r="K263" s="33" t="n">
        <v>16950</v>
      </c>
      <c r="L263" s="34" t="n">
        <v>14</v>
      </c>
      <c r="M263" s="5" t="inlineStr">
        <is>
          <t>2026-10-14</t>
        </is>
      </c>
    </row>
    <row r="264">
      <c r="A264" s="5" t="inlineStr">
        <is>
          <t>contributions_by_state</t>
        </is>
      </c>
      <c r="B264" s="5" t="n">
        <v>2026</v>
      </c>
      <c r="C264" s="5" t="inlineStr">
        <is>
          <t>Bob Brooks</t>
        </is>
      </c>
      <c r="D264" s="5" t="inlineStr">
        <is>
          <t>DEM</t>
        </is>
      </c>
      <c r="E264" s="5" t="n"/>
      <c r="F264" s="5" t="n"/>
      <c r="G264" s="5" t="n"/>
      <c r="H264" s="5" t="n"/>
      <c r="I264" s="5" t="n"/>
      <c r="J264" s="5" t="inlineStr">
        <is>
          <t>VA</t>
        </is>
      </c>
      <c r="K264" s="33" t="n">
        <v>14884.19</v>
      </c>
      <c r="L264" s="34" t="n">
        <v>72</v>
      </c>
      <c r="M264" s="5" t="inlineStr">
        <is>
          <t>2026-10-14</t>
        </is>
      </c>
    </row>
    <row r="265">
      <c r="A265" s="5" t="inlineStr">
        <is>
          <t>contributions_by_state</t>
        </is>
      </c>
      <c r="B265" s="5" t="n">
        <v>2026</v>
      </c>
      <c r="C265" s="5" t="inlineStr">
        <is>
          <t>Bob Brooks</t>
        </is>
      </c>
      <c r="D265" s="5" t="inlineStr">
        <is>
          <t>DEM</t>
        </is>
      </c>
      <c r="E265" s="5" t="n"/>
      <c r="F265" s="5" t="n"/>
      <c r="G265" s="5" t="n"/>
      <c r="H265" s="5" t="n"/>
      <c r="I265" s="5" t="n"/>
      <c r="J265" s="5" t="inlineStr">
        <is>
          <t>GA</t>
        </is>
      </c>
      <c r="K265" s="33" t="n">
        <v>12000</v>
      </c>
      <c r="L265" s="34" t="n">
        <v>5</v>
      </c>
      <c r="M265" s="5" t="inlineStr">
        <is>
          <t>2026-10-14</t>
        </is>
      </c>
    </row>
    <row r="266">
      <c r="A266" s="5" t="inlineStr">
        <is>
          <t>contributions_by_state</t>
        </is>
      </c>
      <c r="B266" s="5" t="n">
        <v>2026</v>
      </c>
      <c r="C266" s="5" t="inlineStr">
        <is>
          <t>Bob Brooks</t>
        </is>
      </c>
      <c r="D266" s="5" t="inlineStr">
        <is>
          <t>DEM</t>
        </is>
      </c>
      <c r="E266" s="5" t="n"/>
      <c r="F266" s="5" t="n"/>
      <c r="G266" s="5" t="n"/>
      <c r="H266" s="5" t="n"/>
      <c r="I266" s="5" t="n"/>
      <c r="J266" s="5" t="inlineStr">
        <is>
          <t>MN</t>
        </is>
      </c>
      <c r="K266" s="33" t="n">
        <v>11939.33</v>
      </c>
      <c r="L266" s="34" t="n">
        <v>25</v>
      </c>
      <c r="M266" s="5" t="inlineStr">
        <is>
          <t>2026-10-14</t>
        </is>
      </c>
    </row>
    <row r="267">
      <c r="A267" s="5" t="inlineStr">
        <is>
          <t>contributions_by_state</t>
        </is>
      </c>
      <c r="B267" s="5" t="n">
        <v>2026</v>
      </c>
      <c r="C267" s="5" t="inlineStr">
        <is>
          <t>Bob Brooks</t>
        </is>
      </c>
      <c r="D267" s="5" t="inlineStr">
        <is>
          <t>DEM</t>
        </is>
      </c>
      <c r="E267" s="5" t="n"/>
      <c r="F267" s="5" t="n"/>
      <c r="G267" s="5" t="n"/>
      <c r="H267" s="5" t="n"/>
      <c r="I267" s="5" t="n"/>
      <c r="J267" s="5" t="inlineStr">
        <is>
          <t>OR</t>
        </is>
      </c>
      <c r="K267" s="33" t="n">
        <v>10200</v>
      </c>
      <c r="L267" s="34" t="n">
        <v>25</v>
      </c>
      <c r="M267" s="5" t="inlineStr">
        <is>
          <t>2026-10-14</t>
        </is>
      </c>
    </row>
    <row r="268">
      <c r="A268" s="5" t="inlineStr">
        <is>
          <t>contributions_by_state</t>
        </is>
      </c>
      <c r="B268" s="5" t="n">
        <v>2026</v>
      </c>
      <c r="C268" s="5" t="inlineStr">
        <is>
          <t>Bob Brooks</t>
        </is>
      </c>
      <c r="D268" s="5" t="inlineStr">
        <is>
          <t>DEM</t>
        </is>
      </c>
      <c r="E268" s="5" t="n"/>
      <c r="F268" s="5" t="n"/>
      <c r="G268" s="5" t="n"/>
      <c r="H268" s="5" t="n"/>
      <c r="I268" s="5" t="n"/>
      <c r="J268" s="5" t="inlineStr">
        <is>
          <t>NH</t>
        </is>
      </c>
      <c r="K268" s="33" t="n">
        <v>8530</v>
      </c>
      <c r="L268" s="34" t="n">
        <v>8</v>
      </c>
      <c r="M268" s="5" t="inlineStr">
        <is>
          <t>2026-10-14</t>
        </is>
      </c>
    </row>
    <row r="269">
      <c r="A269" s="5" t="inlineStr">
        <is>
          <t>contributions_by_state</t>
        </is>
      </c>
      <c r="B269" s="5" t="n">
        <v>2026</v>
      </c>
      <c r="C269" s="5" t="inlineStr">
        <is>
          <t>Bob Brooks</t>
        </is>
      </c>
      <c r="D269" s="5" t="inlineStr">
        <is>
          <t>DEM</t>
        </is>
      </c>
      <c r="E269" s="5" t="n"/>
      <c r="F269" s="5" t="n"/>
      <c r="G269" s="5" t="n"/>
      <c r="H269" s="5" t="n"/>
      <c r="I269" s="5" t="n"/>
      <c r="J269" s="5" t="inlineStr">
        <is>
          <t>CO</t>
        </is>
      </c>
      <c r="K269" s="33" t="n">
        <v>7371.65</v>
      </c>
      <c r="L269" s="34" t="n">
        <v>45</v>
      </c>
      <c r="M269" s="5" t="inlineStr">
        <is>
          <t>2026-10-14</t>
        </is>
      </c>
    </row>
    <row r="270">
      <c r="A270" s="5" t="inlineStr">
        <is>
          <t>contributions_by_state</t>
        </is>
      </c>
      <c r="B270" s="5" t="n">
        <v>2026</v>
      </c>
      <c r="C270" s="5" t="inlineStr">
        <is>
          <t>Bob Brooks</t>
        </is>
      </c>
      <c r="D270" s="5" t="inlineStr">
        <is>
          <t>DEM</t>
        </is>
      </c>
      <c r="E270" s="5" t="n"/>
      <c r="F270" s="5" t="n"/>
      <c r="G270" s="5" t="n"/>
      <c r="H270" s="5" t="n"/>
      <c r="I270" s="5" t="n"/>
      <c r="J270" s="5" t="inlineStr">
        <is>
          <t>KY</t>
        </is>
      </c>
      <c r="K270" s="33" t="n">
        <v>7250</v>
      </c>
      <c r="L270" s="34" t="n">
        <v>3</v>
      </c>
      <c r="M270" s="5" t="inlineStr">
        <is>
          <t>2026-10-14</t>
        </is>
      </c>
    </row>
    <row r="271">
      <c r="A271" s="5" t="inlineStr">
        <is>
          <t>contributions_by_state</t>
        </is>
      </c>
      <c r="B271" s="5" t="n">
        <v>2026</v>
      </c>
      <c r="C271" s="5" t="inlineStr">
        <is>
          <t>Bob Brooks</t>
        </is>
      </c>
      <c r="D271" s="5" t="inlineStr">
        <is>
          <t>DEM</t>
        </is>
      </c>
      <c r="E271" s="5" t="n"/>
      <c r="F271" s="5" t="n"/>
      <c r="G271" s="5" t="n"/>
      <c r="H271" s="5" t="n"/>
      <c r="I271" s="5" t="n"/>
      <c r="J271" s="5" t="inlineStr">
        <is>
          <t>PR</t>
        </is>
      </c>
      <c r="K271" s="33" t="n">
        <v>7000</v>
      </c>
      <c r="L271" s="34" t="n">
        <v>2</v>
      </c>
      <c r="M271" s="5" t="inlineStr">
        <is>
          <t>2026-10-14</t>
        </is>
      </c>
    </row>
    <row r="272">
      <c r="A272" s="5" t="inlineStr">
        <is>
          <t>contributions_by_state</t>
        </is>
      </c>
      <c r="B272" s="5" t="n">
        <v>2026</v>
      </c>
      <c r="C272" s="5" t="inlineStr">
        <is>
          <t>Bob Brooks</t>
        </is>
      </c>
      <c r="D272" s="5" t="inlineStr">
        <is>
          <t>DEM</t>
        </is>
      </c>
      <c r="E272" s="5" t="n"/>
      <c r="F272" s="5" t="n"/>
      <c r="G272" s="5" t="n"/>
      <c r="H272" s="5" t="n"/>
      <c r="I272" s="5" t="n"/>
      <c r="J272" s="5" t="inlineStr">
        <is>
          <t>IN</t>
        </is>
      </c>
      <c r="K272" s="33" t="n">
        <v>5898.28</v>
      </c>
      <c r="L272" s="34" t="n">
        <v>9</v>
      </c>
      <c r="M272" s="5" t="inlineStr">
        <is>
          <t>2026-10-14</t>
        </is>
      </c>
    </row>
    <row r="273">
      <c r="A273" s="5" t="inlineStr">
        <is>
          <t>contributions_by_state</t>
        </is>
      </c>
      <c r="B273" s="5" t="n">
        <v>2026</v>
      </c>
      <c r="C273" s="5" t="inlineStr">
        <is>
          <t>Bob Brooks</t>
        </is>
      </c>
      <c r="D273" s="5" t="inlineStr">
        <is>
          <t>DEM</t>
        </is>
      </c>
      <c r="E273" s="5" t="n"/>
      <c r="F273" s="5" t="n"/>
      <c r="G273" s="5" t="n"/>
      <c r="H273" s="5" t="n"/>
      <c r="I273" s="5" t="n"/>
      <c r="J273" s="5" t="inlineStr">
        <is>
          <t>OH</t>
        </is>
      </c>
      <c r="K273" s="33" t="n">
        <v>5350</v>
      </c>
      <c r="L273" s="34" t="n">
        <v>5</v>
      </c>
      <c r="M273" s="5" t="inlineStr">
        <is>
          <t>2026-10-14</t>
        </is>
      </c>
    </row>
    <row r="274">
      <c r="A274" s="5" t="inlineStr">
        <is>
          <t>contributions_by_state</t>
        </is>
      </c>
      <c r="B274" s="5" t="n">
        <v>2026</v>
      </c>
      <c r="C274" s="5" t="inlineStr">
        <is>
          <t>Bob Brooks</t>
        </is>
      </c>
      <c r="D274" s="5" t="inlineStr">
        <is>
          <t>DEM</t>
        </is>
      </c>
      <c r="E274" s="5" t="n"/>
      <c r="F274" s="5" t="n"/>
      <c r="G274" s="5" t="n"/>
      <c r="H274" s="5" t="n"/>
      <c r="I274" s="5" t="n"/>
      <c r="J274" s="5" t="inlineStr">
        <is>
          <t>UT</t>
        </is>
      </c>
      <c r="K274" s="33" t="n">
        <v>4250</v>
      </c>
      <c r="L274" s="34" t="n">
        <v>4</v>
      </c>
      <c r="M274" s="5" t="inlineStr">
        <is>
          <t>2026-10-14</t>
        </is>
      </c>
    </row>
    <row r="275">
      <c r="A275" s="5" t="inlineStr">
        <is>
          <t>contributions_by_state</t>
        </is>
      </c>
      <c r="B275" s="5" t="n">
        <v>2026</v>
      </c>
      <c r="C275" s="5" t="inlineStr">
        <is>
          <t>Bob Brooks</t>
        </is>
      </c>
      <c r="D275" s="5" t="inlineStr">
        <is>
          <t>DEM</t>
        </is>
      </c>
      <c r="E275" s="5" t="n"/>
      <c r="F275" s="5" t="n"/>
      <c r="G275" s="5" t="n"/>
      <c r="H275" s="5" t="n"/>
      <c r="I275" s="5" t="n"/>
      <c r="J275" s="5" t="inlineStr">
        <is>
          <t>MT</t>
        </is>
      </c>
      <c r="K275" s="33" t="n">
        <v>3750</v>
      </c>
      <c r="L275" s="34" t="n">
        <v>2</v>
      </c>
      <c r="M275" s="5" t="inlineStr">
        <is>
          <t>2026-10-14</t>
        </is>
      </c>
    </row>
    <row r="276">
      <c r="A276" s="5" t="inlineStr">
        <is>
          <t>contributions_by_state</t>
        </is>
      </c>
      <c r="B276" s="5" t="n">
        <v>2026</v>
      </c>
      <c r="C276" s="5" t="inlineStr">
        <is>
          <t>Bob Brooks</t>
        </is>
      </c>
      <c r="D276" s="5" t="inlineStr">
        <is>
          <t>DEM</t>
        </is>
      </c>
      <c r="E276" s="5" t="n"/>
      <c r="F276" s="5" t="n"/>
      <c r="G276" s="5" t="n"/>
      <c r="H276" s="5" t="n"/>
      <c r="I276" s="5" t="n"/>
      <c r="J276" s="5" t="inlineStr">
        <is>
          <t>AZ</t>
        </is>
      </c>
      <c r="K276" s="33" t="n">
        <v>3463.66</v>
      </c>
      <c r="L276" s="34" t="n">
        <v>11</v>
      </c>
      <c r="M276" s="5" t="inlineStr">
        <is>
          <t>2026-10-14</t>
        </is>
      </c>
    </row>
    <row r="277">
      <c r="A277" s="5" t="inlineStr">
        <is>
          <t>contributions_by_state</t>
        </is>
      </c>
      <c r="B277" s="5" t="n">
        <v>2026</v>
      </c>
      <c r="C277" s="5" t="inlineStr">
        <is>
          <t>Bob Brooks</t>
        </is>
      </c>
      <c r="D277" s="5" t="inlineStr">
        <is>
          <t>DEM</t>
        </is>
      </c>
      <c r="E277" s="5" t="n"/>
      <c r="F277" s="5" t="n"/>
      <c r="G277" s="5" t="n"/>
      <c r="H277" s="5" t="n"/>
      <c r="I277" s="5" t="n"/>
      <c r="J277" s="5" t="inlineStr">
        <is>
          <t>DE</t>
        </is>
      </c>
      <c r="K277" s="33" t="n">
        <v>3250</v>
      </c>
      <c r="L277" s="34" t="n">
        <v>5</v>
      </c>
      <c r="M277" s="5" t="inlineStr">
        <is>
          <t>2026-10-14</t>
        </is>
      </c>
    </row>
    <row r="278">
      <c r="A278" s="5" t="inlineStr">
        <is>
          <t>contributions_by_state</t>
        </is>
      </c>
      <c r="B278" s="5" t="n">
        <v>2026</v>
      </c>
      <c r="C278" s="5" t="inlineStr">
        <is>
          <t>Bob Brooks</t>
        </is>
      </c>
      <c r="D278" s="5" t="inlineStr">
        <is>
          <t>DEM</t>
        </is>
      </c>
      <c r="E278" s="5" t="n"/>
      <c r="F278" s="5" t="n"/>
      <c r="G278" s="5" t="n"/>
      <c r="H278" s="5" t="n"/>
      <c r="I278" s="5" t="n"/>
      <c r="J278" s="5" t="inlineStr">
        <is>
          <t>NC</t>
        </is>
      </c>
      <c r="K278" s="33" t="n">
        <v>3203.5</v>
      </c>
      <c r="L278" s="34" t="n">
        <v>10</v>
      </c>
      <c r="M278" s="5" t="inlineStr">
        <is>
          <t>2026-10-14</t>
        </is>
      </c>
    </row>
    <row r="279">
      <c r="A279" s="5" t="inlineStr">
        <is>
          <t>contributions_by_state</t>
        </is>
      </c>
      <c r="B279" s="5" t="n">
        <v>2026</v>
      </c>
      <c r="C279" s="5" t="inlineStr">
        <is>
          <t>Bob Brooks</t>
        </is>
      </c>
      <c r="D279" s="5" t="inlineStr">
        <is>
          <t>DEM</t>
        </is>
      </c>
      <c r="E279" s="5" t="n"/>
      <c r="F279" s="5" t="n"/>
      <c r="G279" s="5" t="n"/>
      <c r="H279" s="5" t="n"/>
      <c r="I279" s="5" t="n"/>
      <c r="J279" s="5" t="inlineStr">
        <is>
          <t>KS</t>
        </is>
      </c>
      <c r="K279" s="33" t="n">
        <v>3100</v>
      </c>
      <c r="L279" s="34" t="n">
        <v>3</v>
      </c>
      <c r="M279" s="5" t="inlineStr">
        <is>
          <t>2026-10-14</t>
        </is>
      </c>
    </row>
    <row r="280">
      <c r="A280" s="5" t="inlineStr">
        <is>
          <t>contributions_by_state</t>
        </is>
      </c>
      <c r="B280" s="5" t="n">
        <v>2026</v>
      </c>
      <c r="C280" s="5" t="inlineStr">
        <is>
          <t>Bob Brooks</t>
        </is>
      </c>
      <c r="D280" s="5" t="inlineStr">
        <is>
          <t>DEM</t>
        </is>
      </c>
      <c r="E280" s="5" t="n"/>
      <c r="F280" s="5" t="n"/>
      <c r="G280" s="5" t="n"/>
      <c r="H280" s="5" t="n"/>
      <c r="I280" s="5" t="n"/>
      <c r="J280" s="5" t="inlineStr">
        <is>
          <t>OK</t>
        </is>
      </c>
      <c r="K280" s="33" t="n">
        <v>3000</v>
      </c>
      <c r="L280" s="34" t="n">
        <v>8</v>
      </c>
      <c r="M280" s="5" t="inlineStr">
        <is>
          <t>2026-10-14</t>
        </is>
      </c>
    </row>
    <row r="281">
      <c r="A281" s="5" t="inlineStr">
        <is>
          <t>contributions_by_state</t>
        </is>
      </c>
      <c r="B281" s="5" t="n">
        <v>2026</v>
      </c>
      <c r="C281" s="5" t="inlineStr">
        <is>
          <t>Bob Brooks</t>
        </is>
      </c>
      <c r="D281" s="5" t="inlineStr">
        <is>
          <t>DEM</t>
        </is>
      </c>
      <c r="E281" s="5" t="n"/>
      <c r="F281" s="5" t="n"/>
      <c r="G281" s="5" t="n"/>
      <c r="H281" s="5" t="n"/>
      <c r="I281" s="5" t="n"/>
      <c r="J281" s="5" t="inlineStr">
        <is>
          <t>AK</t>
        </is>
      </c>
      <c r="K281" s="33" t="n">
        <v>2250</v>
      </c>
      <c r="L281" s="34" t="n">
        <v>2</v>
      </c>
      <c r="M281" s="5" t="inlineStr">
        <is>
          <t>2026-10-14</t>
        </is>
      </c>
    </row>
    <row r="282">
      <c r="A282" s="5" t="inlineStr">
        <is>
          <t>contributions_by_state</t>
        </is>
      </c>
      <c r="B282" s="5" t="n">
        <v>2026</v>
      </c>
      <c r="C282" s="5" t="inlineStr">
        <is>
          <t>Bob Brooks</t>
        </is>
      </c>
      <c r="D282" s="5" t="inlineStr">
        <is>
          <t>DEM</t>
        </is>
      </c>
      <c r="E282" s="5" t="n"/>
      <c r="F282" s="5" t="n"/>
      <c r="G282" s="5" t="n"/>
      <c r="H282" s="5" t="n"/>
      <c r="I282" s="5" t="n"/>
      <c r="J282" s="5" t="inlineStr">
        <is>
          <t>SC</t>
        </is>
      </c>
      <c r="K282" s="33" t="n">
        <v>2202.5</v>
      </c>
      <c r="L282" s="34" t="n">
        <v>8</v>
      </c>
      <c r="M282" s="5" t="inlineStr">
        <is>
          <t>2026-10-14</t>
        </is>
      </c>
    </row>
    <row r="283">
      <c r="A283" s="5" t="inlineStr">
        <is>
          <t>contributions_by_state</t>
        </is>
      </c>
      <c r="B283" s="5" t="n">
        <v>2026</v>
      </c>
      <c r="C283" s="5" t="inlineStr">
        <is>
          <t>Bob Brooks</t>
        </is>
      </c>
      <c r="D283" s="5" t="inlineStr">
        <is>
          <t>DEM</t>
        </is>
      </c>
      <c r="E283" s="5" t="n"/>
      <c r="F283" s="5" t="n"/>
      <c r="G283" s="5" t="n"/>
      <c r="H283" s="5" t="n"/>
      <c r="I283" s="5" t="n"/>
      <c r="J283" s="5" t="inlineStr">
        <is>
          <t>VT</t>
        </is>
      </c>
      <c r="K283" s="33" t="n">
        <v>2125</v>
      </c>
      <c r="L283" s="34" t="n">
        <v>10</v>
      </c>
      <c r="M283" s="5" t="inlineStr">
        <is>
          <t>2026-10-14</t>
        </is>
      </c>
    </row>
    <row r="284">
      <c r="A284" s="5" t="inlineStr">
        <is>
          <t>contributions_by_state</t>
        </is>
      </c>
      <c r="B284" s="5" t="n">
        <v>2026</v>
      </c>
      <c r="C284" s="5" t="inlineStr">
        <is>
          <t>Bob Brooks</t>
        </is>
      </c>
      <c r="D284" s="5" t="inlineStr">
        <is>
          <t>DEM</t>
        </is>
      </c>
      <c r="E284" s="5" t="n"/>
      <c r="F284" s="5" t="n"/>
      <c r="G284" s="5" t="n"/>
      <c r="H284" s="5" t="n"/>
      <c r="I284" s="5" t="n"/>
      <c r="J284" s="5" t="inlineStr">
        <is>
          <t>RI</t>
        </is>
      </c>
      <c r="K284" s="33" t="n">
        <v>1850</v>
      </c>
      <c r="L284" s="34" t="n">
        <v>7</v>
      </c>
      <c r="M284" s="5" t="inlineStr">
        <is>
          <t>2026-10-14</t>
        </is>
      </c>
    </row>
    <row r="285">
      <c r="A285" s="5" t="inlineStr">
        <is>
          <t>contributions_by_state</t>
        </is>
      </c>
      <c r="B285" s="5" t="n">
        <v>2026</v>
      </c>
      <c r="C285" s="5" t="inlineStr">
        <is>
          <t>Bob Brooks</t>
        </is>
      </c>
      <c r="D285" s="5" t="inlineStr">
        <is>
          <t>DEM</t>
        </is>
      </c>
      <c r="E285" s="5" t="n"/>
      <c r="F285" s="5" t="n"/>
      <c r="G285" s="5" t="n"/>
      <c r="H285" s="5" t="n"/>
      <c r="I285" s="5" t="n"/>
      <c r="J285" s="5" t="inlineStr">
        <is>
          <t>WI</t>
        </is>
      </c>
      <c r="K285" s="33" t="n">
        <v>1755</v>
      </c>
      <c r="L285" s="34" t="n">
        <v>15</v>
      </c>
      <c r="M285" s="5" t="inlineStr">
        <is>
          <t>2026-10-14</t>
        </is>
      </c>
    </row>
    <row r="286">
      <c r="A286" s="5" t="inlineStr">
        <is>
          <t>contributions_by_state</t>
        </is>
      </c>
      <c r="B286" s="5" t="n">
        <v>2026</v>
      </c>
      <c r="C286" s="5" t="inlineStr">
        <is>
          <t>Bob Brooks</t>
        </is>
      </c>
      <c r="D286" s="5" t="inlineStr">
        <is>
          <t>DEM</t>
        </is>
      </c>
      <c r="E286" s="5" t="n"/>
      <c r="F286" s="5" t="n"/>
      <c r="G286" s="5" t="n"/>
      <c r="H286" s="5" t="n"/>
      <c r="I286" s="5" t="n"/>
      <c r="J286" s="5" t="inlineStr">
        <is>
          <t>MO</t>
        </is>
      </c>
      <c r="K286" s="33" t="n">
        <v>1752.39</v>
      </c>
      <c r="L286" s="34" t="n">
        <v>5</v>
      </c>
      <c r="M286" s="5" t="inlineStr">
        <is>
          <t>2026-10-14</t>
        </is>
      </c>
    </row>
    <row r="287">
      <c r="A287" s="5" t="inlineStr">
        <is>
          <t>contributions_by_state</t>
        </is>
      </c>
      <c r="B287" s="5" t="n">
        <v>2026</v>
      </c>
      <c r="C287" s="5" t="inlineStr">
        <is>
          <t>Bob Brooks</t>
        </is>
      </c>
      <c r="D287" s="5" t="inlineStr">
        <is>
          <t>DEM</t>
        </is>
      </c>
      <c r="E287" s="5" t="n"/>
      <c r="F287" s="5" t="n"/>
      <c r="G287" s="5" t="n"/>
      <c r="H287" s="5" t="n"/>
      <c r="I287" s="5" t="n"/>
      <c r="J287" s="5" t="inlineStr">
        <is>
          <t>ME</t>
        </is>
      </c>
      <c r="K287" s="33" t="n">
        <v>1437.5</v>
      </c>
      <c r="L287" s="34" t="n">
        <v>6</v>
      </c>
      <c r="M287" s="5" t="inlineStr">
        <is>
          <t>2026-10-14</t>
        </is>
      </c>
    </row>
    <row r="288">
      <c r="A288" s="5" t="inlineStr">
        <is>
          <t>contributions_by_state</t>
        </is>
      </c>
      <c r="B288" s="5" t="n">
        <v>2026</v>
      </c>
      <c r="C288" s="5" t="inlineStr">
        <is>
          <t>Bob Brooks</t>
        </is>
      </c>
      <c r="D288" s="5" t="inlineStr">
        <is>
          <t>DEM</t>
        </is>
      </c>
      <c r="E288" s="5" t="n"/>
      <c r="F288" s="5" t="n"/>
      <c r="G288" s="5" t="n"/>
      <c r="H288" s="5" t="n"/>
      <c r="I288" s="5" t="n"/>
      <c r="J288" s="5" t="inlineStr">
        <is>
          <t>MI</t>
        </is>
      </c>
      <c r="K288" s="33" t="n">
        <v>1150</v>
      </c>
      <c r="L288" s="34" t="n">
        <v>8</v>
      </c>
      <c r="M288" s="5" t="inlineStr">
        <is>
          <t>2026-10-14</t>
        </is>
      </c>
    </row>
    <row r="289">
      <c r="A289" s="5" t="inlineStr">
        <is>
          <t>contributions_by_state</t>
        </is>
      </c>
      <c r="B289" s="5" t="n">
        <v>2026</v>
      </c>
      <c r="C289" s="5" t="inlineStr">
        <is>
          <t>Bob Brooks</t>
        </is>
      </c>
      <c r="D289" s="5" t="inlineStr">
        <is>
          <t>DEM</t>
        </is>
      </c>
      <c r="E289" s="5" t="n"/>
      <c r="F289" s="5" t="n"/>
      <c r="G289" s="5" t="n"/>
      <c r="H289" s="5" t="n"/>
      <c r="I289" s="5" t="n"/>
      <c r="J289" s="5" t="inlineStr">
        <is>
          <t>WY</t>
        </is>
      </c>
      <c r="K289" s="33" t="n">
        <v>683.34</v>
      </c>
      <c r="L289" s="34" t="n">
        <v>5</v>
      </c>
      <c r="M289" s="5" t="inlineStr">
        <is>
          <t>2026-10-14</t>
        </is>
      </c>
    </row>
    <row r="290">
      <c r="A290" s="5" t="inlineStr">
        <is>
          <t>contributions_by_state</t>
        </is>
      </c>
      <c r="B290" s="5" t="n">
        <v>2026</v>
      </c>
      <c r="C290" s="5" t="inlineStr">
        <is>
          <t>Bob Brooks</t>
        </is>
      </c>
      <c r="D290" s="5" t="inlineStr">
        <is>
          <t>DEM</t>
        </is>
      </c>
      <c r="E290" s="5" t="n"/>
      <c r="F290" s="5" t="n"/>
      <c r="G290" s="5" t="n"/>
      <c r="H290" s="5" t="n"/>
      <c r="I290" s="5" t="n"/>
      <c r="J290" s="5" t="inlineStr">
        <is>
          <t>NE</t>
        </is>
      </c>
      <c r="K290" s="33" t="n">
        <v>500</v>
      </c>
      <c r="L290" s="34" t="n">
        <v>1</v>
      </c>
      <c r="M290" s="5" t="inlineStr">
        <is>
          <t>2026-10-14</t>
        </is>
      </c>
    </row>
    <row r="291">
      <c r="A291" s="5" t="inlineStr">
        <is>
          <t>contributions_by_state</t>
        </is>
      </c>
      <c r="B291" s="5" t="n">
        <v>2026</v>
      </c>
      <c r="C291" s="5" t="inlineStr">
        <is>
          <t>Bob Brooks</t>
        </is>
      </c>
      <c r="D291" s="5" t="inlineStr">
        <is>
          <t>DEM</t>
        </is>
      </c>
      <c r="E291" s="5" t="n"/>
      <c r="F291" s="5" t="n"/>
      <c r="G291" s="5" t="n"/>
      <c r="H291" s="5" t="n"/>
      <c r="I291" s="5" t="n"/>
      <c r="J291" s="5" t="inlineStr">
        <is>
          <t>HI</t>
        </is>
      </c>
      <c r="K291" s="33" t="n">
        <v>335.71</v>
      </c>
      <c r="L291" s="34" t="n">
        <v>3</v>
      </c>
      <c r="M291" s="5" t="inlineStr">
        <is>
          <t>2026-10-14</t>
        </is>
      </c>
    </row>
    <row r="292">
      <c r="A292" s="5" t="inlineStr">
        <is>
          <t>contributions_by_state</t>
        </is>
      </c>
      <c r="B292" s="5" t="n">
        <v>2026</v>
      </c>
      <c r="C292" s="5" t="inlineStr">
        <is>
          <t>Bob Brooks</t>
        </is>
      </c>
      <c r="D292" s="5" t="inlineStr">
        <is>
          <t>DEM</t>
        </is>
      </c>
      <c r="E292" s="5" t="n"/>
      <c r="F292" s="5" t="n"/>
      <c r="G292" s="5" t="n"/>
      <c r="H292" s="5" t="n"/>
      <c r="I292" s="5" t="n"/>
      <c r="J292" s="5" t="inlineStr">
        <is>
          <t>IA</t>
        </is>
      </c>
      <c r="K292" s="33" t="n">
        <v>310</v>
      </c>
      <c r="L292" s="34" t="n">
        <v>4</v>
      </c>
      <c r="M292" s="5" t="inlineStr">
        <is>
          <t>2026-10-14</t>
        </is>
      </c>
    </row>
    <row r="293">
      <c r="A293" s="5" t="inlineStr">
        <is>
          <t>contributions_by_state</t>
        </is>
      </c>
      <c r="B293" s="5" t="n">
        <v>2026</v>
      </c>
      <c r="C293" s="5" t="inlineStr">
        <is>
          <t>Bob Brooks</t>
        </is>
      </c>
      <c r="D293" s="5" t="inlineStr">
        <is>
          <t>DEM</t>
        </is>
      </c>
      <c r="E293" s="5" t="n"/>
      <c r="F293" s="5" t="n"/>
      <c r="G293" s="5" t="n"/>
      <c r="H293" s="5" t="n"/>
      <c r="I293" s="5" t="n"/>
      <c r="J293" s="5" t="inlineStr">
        <is>
          <t>VI</t>
        </is>
      </c>
      <c r="K293" s="33" t="n">
        <v>300</v>
      </c>
      <c r="L293" s="34" t="n">
        <v>3</v>
      </c>
      <c r="M293" s="5" t="inlineStr">
        <is>
          <t>2026-10-14</t>
        </is>
      </c>
    </row>
    <row r="294">
      <c r="A294" s="5" t="inlineStr">
        <is>
          <t>contributions_by_state</t>
        </is>
      </c>
      <c r="B294" s="5" t="n">
        <v>2026</v>
      </c>
      <c r="C294" s="5" t="inlineStr">
        <is>
          <t>Bob Brooks</t>
        </is>
      </c>
      <c r="D294" s="5" t="inlineStr">
        <is>
          <t>DEM</t>
        </is>
      </c>
      <c r="E294" s="5" t="n"/>
      <c r="F294" s="5" t="n"/>
      <c r="G294" s="5" t="n"/>
      <c r="H294" s="5" t="n"/>
      <c r="I294" s="5" t="n"/>
      <c r="J294" s="5" t="inlineStr">
        <is>
          <t>NV</t>
        </is>
      </c>
      <c r="K294" s="33" t="n">
        <v>250</v>
      </c>
      <c r="L294" s="34" t="n">
        <v>1</v>
      </c>
      <c r="M294" s="5" t="inlineStr">
        <is>
          <t>2026-10-14</t>
        </is>
      </c>
    </row>
    <row r="295">
      <c r="A295" s="5" t="inlineStr">
        <is>
          <t>contributions_by_state</t>
        </is>
      </c>
      <c r="B295" s="5" t="n">
        <v>2026</v>
      </c>
      <c r="C295" s="5" t="inlineStr">
        <is>
          <t>Bob Brooks</t>
        </is>
      </c>
      <c r="D295" s="5" t="inlineStr">
        <is>
          <t>DEM</t>
        </is>
      </c>
      <c r="E295" s="5" t="n"/>
      <c r="F295" s="5" t="n"/>
      <c r="G295" s="5" t="n"/>
      <c r="H295" s="5" t="n"/>
      <c r="I295" s="5" t="n"/>
      <c r="J295" s="5" t="inlineStr">
        <is>
          <t>MS</t>
        </is>
      </c>
      <c r="K295" s="33" t="n">
        <v>250</v>
      </c>
      <c r="L295" s="34" t="n">
        <v>1</v>
      </c>
      <c r="M295" s="5" t="inlineStr">
        <is>
          <t>2026-10-14</t>
        </is>
      </c>
    </row>
    <row r="296">
      <c r="A296" s="5" t="inlineStr">
        <is>
          <t>contributions_by_state</t>
        </is>
      </c>
      <c r="B296" s="5" t="n">
        <v>2026</v>
      </c>
      <c r="C296" s="5" t="inlineStr">
        <is>
          <t>Bob Brooks</t>
        </is>
      </c>
      <c r="D296" s="5" t="inlineStr">
        <is>
          <t>DEM</t>
        </is>
      </c>
      <c r="E296" s="5" t="n"/>
      <c r="F296" s="5" t="n"/>
      <c r="G296" s="5" t="n"/>
      <c r="H296" s="5" t="n"/>
      <c r="I296" s="5" t="n"/>
      <c r="J296" s="5" t="inlineStr">
        <is>
          <t>NM</t>
        </is>
      </c>
      <c r="K296" s="33" t="n">
        <v>250</v>
      </c>
      <c r="L296" s="34" t="n">
        <v>1</v>
      </c>
      <c r="M296" s="5" t="inlineStr">
        <is>
          <t>2026-10-14</t>
        </is>
      </c>
    </row>
    <row r="297">
      <c r="A297" s="5" t="inlineStr">
        <is>
          <t>contributions_by_state</t>
        </is>
      </c>
      <c r="B297" s="5" t="n">
        <v>2026</v>
      </c>
      <c r="C297" s="5" t="inlineStr">
        <is>
          <t>Bob Brooks</t>
        </is>
      </c>
      <c r="D297" s="5" t="inlineStr">
        <is>
          <t>DEM</t>
        </is>
      </c>
      <c r="E297" s="5" t="n"/>
      <c r="F297" s="5" t="n"/>
      <c r="G297" s="5" t="n"/>
      <c r="H297" s="5" t="n"/>
      <c r="I297" s="5" t="n"/>
      <c r="J297" s="5" t="inlineStr">
        <is>
          <t>TN</t>
        </is>
      </c>
      <c r="K297" s="33" t="n">
        <v>250</v>
      </c>
      <c r="L297" s="34" t="n">
        <v>1</v>
      </c>
      <c r="M297" s="5" t="inlineStr">
        <is>
          <t>2026-10-14</t>
        </is>
      </c>
    </row>
    <row r="298">
      <c r="A298" s="5" t="inlineStr">
        <is>
          <t>contributions_by_size</t>
        </is>
      </c>
      <c r="B298" s="5" t="n">
        <v>2026</v>
      </c>
      <c r="C298" s="5" t="inlineStr">
        <is>
          <t>Bob Brooks</t>
        </is>
      </c>
      <c r="D298" s="5" t="inlineStr">
        <is>
          <t>DEM</t>
        </is>
      </c>
      <c r="E298" s="5" t="n"/>
      <c r="F298" s="5" t="inlineStr">
        <is>
          <t>$200 or less</t>
        </is>
      </c>
      <c r="G298" s="5" t="n"/>
      <c r="H298" s="5" t="n"/>
      <c r="I298" s="5" t="n"/>
      <c r="J298" s="5" t="n"/>
      <c r="K298" s="33" t="n">
        <v>1213578.68</v>
      </c>
      <c r="L298" s="34" t="n"/>
      <c r="M298" s="5" t="inlineStr">
        <is>
          <t>2026-10-14</t>
        </is>
      </c>
    </row>
    <row r="299">
      <c r="A299" s="5" t="inlineStr">
        <is>
          <t>contributions_by_size</t>
        </is>
      </c>
      <c r="B299" s="5" t="n">
        <v>2026</v>
      </c>
      <c r="C299" s="5" t="inlineStr">
        <is>
          <t>Bob Brooks</t>
        </is>
      </c>
      <c r="D299" s="5" t="inlineStr">
        <is>
          <t>DEM</t>
        </is>
      </c>
      <c r="E299" s="5" t="n"/>
      <c r="F299" s="5" t="inlineStr">
        <is>
          <t>$200.01 to $499.99</t>
        </is>
      </c>
      <c r="G299" s="5" t="n"/>
      <c r="H299" s="5" t="n"/>
      <c r="I299" s="5" t="n"/>
      <c r="J299" s="5" t="n"/>
      <c r="K299" s="33" t="n">
        <v>122396.32</v>
      </c>
      <c r="L299" s="34" t="n">
        <v>453</v>
      </c>
      <c r="M299" s="5" t="inlineStr">
        <is>
          <t>2026-10-14</t>
        </is>
      </c>
    </row>
    <row r="300">
      <c r="A300" s="5" t="inlineStr">
        <is>
          <t>contributions_by_size</t>
        </is>
      </c>
      <c r="B300" s="5" t="n">
        <v>2026</v>
      </c>
      <c r="C300" s="5" t="inlineStr">
        <is>
          <t>Bob Brooks</t>
        </is>
      </c>
      <c r="D300" s="5" t="inlineStr">
        <is>
          <t>DEM</t>
        </is>
      </c>
      <c r="E300" s="5" t="n"/>
      <c r="F300" s="5" t="inlineStr">
        <is>
          <t>$500 to $999.99</t>
        </is>
      </c>
      <c r="G300" s="5" t="n"/>
      <c r="H300" s="5" t="n"/>
      <c r="I300" s="5" t="n"/>
      <c r="J300" s="5" t="n"/>
      <c r="K300" s="33" t="n">
        <v>151953.87</v>
      </c>
      <c r="L300" s="34" t="n">
        <v>292</v>
      </c>
      <c r="M300" s="5" t="inlineStr">
        <is>
          <t>2026-10-14</t>
        </is>
      </c>
    </row>
    <row r="301">
      <c r="A301" s="5" t="inlineStr">
        <is>
          <t>contributions_by_size</t>
        </is>
      </c>
      <c r="B301" s="5" t="n">
        <v>2026</v>
      </c>
      <c r="C301" s="5" t="inlineStr">
        <is>
          <t>Bob Brooks</t>
        </is>
      </c>
      <c r="D301" s="5" t="inlineStr">
        <is>
          <t>DEM</t>
        </is>
      </c>
      <c r="E301" s="5" t="n"/>
      <c r="F301" s="5" t="inlineStr">
        <is>
          <t>$1,000 to $1,999.99</t>
        </is>
      </c>
      <c r="G301" s="5" t="n"/>
      <c r="H301" s="5" t="n"/>
      <c r="I301" s="5" t="n"/>
      <c r="J301" s="5" t="n"/>
      <c r="K301" s="33" t="n">
        <v>243422.46</v>
      </c>
      <c r="L301" s="34" t="n">
        <v>224</v>
      </c>
      <c r="M301" s="5" t="inlineStr">
        <is>
          <t>2026-10-14</t>
        </is>
      </c>
    </row>
    <row r="302">
      <c r="A302" s="5" t="inlineStr">
        <is>
          <t>contributions_by_size</t>
        </is>
      </c>
      <c r="B302" s="5" t="n">
        <v>2026</v>
      </c>
      <c r="C302" s="5" t="inlineStr">
        <is>
          <t>Bob Brooks</t>
        </is>
      </c>
      <c r="D302" s="5" t="inlineStr">
        <is>
          <t>DEM</t>
        </is>
      </c>
      <c r="E302" s="5" t="n"/>
      <c r="F302" s="5" t="inlineStr">
        <is>
          <t>$2,000 and over</t>
        </is>
      </c>
      <c r="G302" s="5" t="n"/>
      <c r="H302" s="5" t="n"/>
      <c r="I302" s="5" t="n"/>
      <c r="J302" s="5" t="n"/>
      <c r="K302" s="33" t="n">
        <v>798593.73</v>
      </c>
      <c r="L302" s="34" t="n">
        <v>246</v>
      </c>
      <c r="M302" s="5" t="inlineStr">
        <is>
          <t>2026-10-14</t>
        </is>
      </c>
    </row>
    <row r="303">
      <c r="A303" s="5" t="inlineStr">
        <is>
          <t>contributions_in_district</t>
        </is>
      </c>
      <c r="B303" s="5" t="n">
        <v>2026</v>
      </c>
      <c r="C303" s="5" t="inlineStr">
        <is>
          <t>Bob Brooks</t>
        </is>
      </c>
      <c r="D303" s="5" t="inlineStr">
        <is>
          <t>DEM</t>
        </is>
      </c>
      <c r="E303" s="5" t="n"/>
      <c r="F303" s="5" t="inlineStr">
        <is>
          <t>Zip codes 180xx, 181xx, 182xx, 183xx</t>
        </is>
      </c>
      <c r="G303" s="5" t="inlineStr">
        <is>
          <t>In district (approximate)</t>
        </is>
      </c>
      <c r="H303" s="5" t="n"/>
      <c r="I303" s="5" t="n"/>
      <c r="J303" s="5" t="n"/>
      <c r="K303" s="33" t="n">
        <v>92671.33</v>
      </c>
      <c r="L303" s="34" t="n"/>
      <c r="M303" s="5" t="inlineStr">
        <is>
          <t>2026-10-14</t>
        </is>
      </c>
    </row>
    <row r="304">
      <c r="A304" s="5" t="inlineStr">
        <is>
          <t>contributions_in_district</t>
        </is>
      </c>
      <c r="B304" s="5" t="n">
        <v>2026</v>
      </c>
      <c r="C304" s="5" t="inlineStr">
        <is>
          <t>Bob Brooks</t>
        </is>
      </c>
      <c r="D304" s="5" t="inlineStr">
        <is>
          <t>DEM</t>
        </is>
      </c>
      <c r="E304" s="5" t="n"/>
      <c r="F304" s="5" t="n"/>
      <c r="G304" s="5" t="inlineStr">
        <is>
          <t>All itemized, by zip</t>
        </is>
      </c>
      <c r="H304" s="5" t="n"/>
      <c r="I304" s="5" t="n"/>
      <c r="J304" s="5" t="n"/>
      <c r="K304" s="33" t="n">
        <v>1362106.16</v>
      </c>
      <c r="L304" s="34" t="n">
        <v>679</v>
      </c>
      <c r="M304" s="5" t="inlineStr">
        <is>
          <t>2026-10-14</t>
        </is>
      </c>
    </row>
    <row r="305">
      <c r="A305" s="5" t="inlineStr">
        <is>
          <t>contributions_top_zips</t>
        </is>
      </c>
      <c r="B305" s="5" t="n">
        <v>2026</v>
      </c>
      <c r="C305" s="5" t="inlineStr">
        <is>
          <t>Bob Brooks</t>
        </is>
      </c>
      <c r="D305" s="5" t="inlineStr">
        <is>
          <t>DEM</t>
        </is>
      </c>
      <c r="E305" s="5" t="n"/>
      <c r="F305" s="5" t="n"/>
      <c r="G305" s="5" t="inlineStr">
        <is>
          <t>18064</t>
        </is>
      </c>
      <c r="H305" s="5" t="n"/>
      <c r="I305" s="5" t="n"/>
      <c r="J305" s="5" t="n"/>
      <c r="K305" s="33" t="n">
        <v>31450</v>
      </c>
      <c r="L305" s="34" t="n">
        <v>38</v>
      </c>
      <c r="M305" s="5" t="inlineStr">
        <is>
          <t>2026-10-14</t>
        </is>
      </c>
    </row>
    <row r="306">
      <c r="A306" s="5" t="inlineStr">
        <is>
          <t>contributions_top_zips</t>
        </is>
      </c>
      <c r="B306" s="5" t="n">
        <v>2026</v>
      </c>
      <c r="C306" s="5" t="inlineStr">
        <is>
          <t>Bob Brooks</t>
        </is>
      </c>
      <c r="D306" s="5" t="inlineStr">
        <is>
          <t>DEM</t>
        </is>
      </c>
      <c r="E306" s="5" t="n"/>
      <c r="F306" s="5" t="n"/>
      <c r="G306" s="5" t="inlineStr">
        <is>
          <t>19103</t>
        </is>
      </c>
      <c r="H306" s="5" t="n"/>
      <c r="I306" s="5" t="n"/>
      <c r="J306" s="5" t="n"/>
      <c r="K306" s="33" t="n">
        <v>25050</v>
      </c>
      <c r="L306" s="34" t="n">
        <v>15</v>
      </c>
      <c r="M306" s="5" t="inlineStr">
        <is>
          <t>2026-10-14</t>
        </is>
      </c>
    </row>
    <row r="307">
      <c r="A307" s="5" t="inlineStr">
        <is>
          <t>contributions_top_zips</t>
        </is>
      </c>
      <c r="B307" s="5" t="n">
        <v>2026</v>
      </c>
      <c r="C307" s="5" t="inlineStr">
        <is>
          <t>Bob Brooks</t>
        </is>
      </c>
      <c r="D307" s="5" t="inlineStr">
        <is>
          <t>DEM</t>
        </is>
      </c>
      <c r="E307" s="5" t="n"/>
      <c r="F307" s="5" t="n"/>
      <c r="G307" s="5" t="inlineStr">
        <is>
          <t>10011</t>
        </is>
      </c>
      <c r="H307" s="5" t="n"/>
      <c r="I307" s="5" t="n"/>
      <c r="J307" s="5" t="n"/>
      <c r="K307" s="33" t="n">
        <v>24000</v>
      </c>
      <c r="L307" s="34" t="n">
        <v>9</v>
      </c>
      <c r="M307" s="5" t="inlineStr">
        <is>
          <t>2026-10-14</t>
        </is>
      </c>
    </row>
    <row r="308">
      <c r="A308" s="5" t="inlineStr">
        <is>
          <t>contributions_top_zips</t>
        </is>
      </c>
      <c r="B308" s="5" t="n">
        <v>2026</v>
      </c>
      <c r="C308" s="5" t="inlineStr">
        <is>
          <t>Bob Brooks</t>
        </is>
      </c>
      <c r="D308" s="5" t="inlineStr">
        <is>
          <t>DEM</t>
        </is>
      </c>
      <c r="E308" s="5" t="n"/>
      <c r="F308" s="5" t="n"/>
      <c r="G308" s="5" t="inlineStr">
        <is>
          <t>10024</t>
        </is>
      </c>
      <c r="H308" s="5" t="n"/>
      <c r="I308" s="5" t="n"/>
      <c r="J308" s="5" t="n"/>
      <c r="K308" s="33" t="n">
        <v>22813.08</v>
      </c>
      <c r="L308" s="34" t="n">
        <v>27</v>
      </c>
      <c r="M308" s="5" t="inlineStr">
        <is>
          <t>2026-10-14</t>
        </is>
      </c>
    </row>
    <row r="309">
      <c r="A309" s="5" t="inlineStr">
        <is>
          <t>contributions_top_zips</t>
        </is>
      </c>
      <c r="B309" s="5" t="n">
        <v>2026</v>
      </c>
      <c r="C309" s="5" t="inlineStr">
        <is>
          <t>Bob Brooks</t>
        </is>
      </c>
      <c r="D309" s="5" t="inlineStr">
        <is>
          <t>DEM</t>
        </is>
      </c>
      <c r="E309" s="5" t="n"/>
      <c r="F309" s="5" t="n"/>
      <c r="G309" s="5" t="inlineStr">
        <is>
          <t>06830</t>
        </is>
      </c>
      <c r="H309" s="5" t="n"/>
      <c r="I309" s="5" t="n"/>
      <c r="J309" s="5" t="n"/>
      <c r="K309" s="33" t="n">
        <v>21500</v>
      </c>
      <c r="L309" s="34" t="n">
        <v>8</v>
      </c>
      <c r="M309" s="5" t="inlineStr">
        <is>
          <t>2026-10-14</t>
        </is>
      </c>
    </row>
    <row r="310">
      <c r="A310" s="5" t="inlineStr">
        <is>
          <t>contributions_top_zips</t>
        </is>
      </c>
      <c r="B310" s="5" t="n">
        <v>2026</v>
      </c>
      <c r="C310" s="5" t="inlineStr">
        <is>
          <t>Bob Brooks</t>
        </is>
      </c>
      <c r="D310" s="5" t="inlineStr">
        <is>
          <t>DEM</t>
        </is>
      </c>
      <c r="E310" s="5" t="n"/>
      <c r="F310" s="5" t="n"/>
      <c r="G310" s="5" t="inlineStr">
        <is>
          <t>11238</t>
        </is>
      </c>
      <c r="H310" s="5" t="n"/>
      <c r="I310" s="5" t="n"/>
      <c r="J310" s="5" t="n"/>
      <c r="K310" s="33" t="n">
        <v>20500</v>
      </c>
      <c r="L310" s="34" t="n">
        <v>9</v>
      </c>
      <c r="M310" s="5" t="inlineStr">
        <is>
          <t>2026-10-14</t>
        </is>
      </c>
    </row>
    <row r="311">
      <c r="A311" s="5" t="inlineStr">
        <is>
          <t>contributions_top_zips</t>
        </is>
      </c>
      <c r="B311" s="5" t="n">
        <v>2026</v>
      </c>
      <c r="C311" s="5" t="inlineStr">
        <is>
          <t>Bob Brooks</t>
        </is>
      </c>
      <c r="D311" s="5" t="inlineStr">
        <is>
          <t>DEM</t>
        </is>
      </c>
      <c r="E311" s="5" t="n"/>
      <c r="F311" s="5" t="n"/>
      <c r="G311" s="5" t="inlineStr">
        <is>
          <t>94027</t>
        </is>
      </c>
      <c r="H311" s="5" t="n"/>
      <c r="I311" s="5" t="n"/>
      <c r="J311" s="5" t="n"/>
      <c r="K311" s="33" t="n">
        <v>18675</v>
      </c>
      <c r="L311" s="34" t="n">
        <v>8</v>
      </c>
      <c r="M311" s="5" t="inlineStr">
        <is>
          <t>2026-10-14</t>
        </is>
      </c>
    </row>
    <row r="312">
      <c r="A312" s="5" t="inlineStr">
        <is>
          <t>contributions_top_zips</t>
        </is>
      </c>
      <c r="B312" s="5" t="n">
        <v>2026</v>
      </c>
      <c r="C312" s="5" t="inlineStr">
        <is>
          <t>Bob Brooks</t>
        </is>
      </c>
      <c r="D312" s="5" t="inlineStr">
        <is>
          <t>DEM</t>
        </is>
      </c>
      <c r="E312" s="5" t="n"/>
      <c r="F312" s="5" t="n"/>
      <c r="G312" s="5" t="inlineStr">
        <is>
          <t>10012</t>
        </is>
      </c>
      <c r="H312" s="5" t="n"/>
      <c r="I312" s="5" t="n"/>
      <c r="J312" s="5" t="n"/>
      <c r="K312" s="33" t="n">
        <v>17750</v>
      </c>
      <c r="L312" s="34" t="n">
        <v>6</v>
      </c>
      <c r="M312" s="5" t="inlineStr">
        <is>
          <t>2026-10-14</t>
        </is>
      </c>
    </row>
    <row r="313">
      <c r="A313" s="5" t="inlineStr">
        <is>
          <t>contributions_top_zips</t>
        </is>
      </c>
      <c r="B313" s="5" t="n">
        <v>2026</v>
      </c>
      <c r="C313" s="5" t="inlineStr">
        <is>
          <t>Bob Brooks</t>
        </is>
      </c>
      <c r="D313" s="5" t="inlineStr">
        <is>
          <t>DEM</t>
        </is>
      </c>
      <c r="E313" s="5" t="n"/>
      <c r="F313" s="5" t="n"/>
      <c r="G313" s="5" t="inlineStr">
        <is>
          <t>94301</t>
        </is>
      </c>
      <c r="H313" s="5" t="n"/>
      <c r="I313" s="5" t="n"/>
      <c r="J313" s="5" t="n"/>
      <c r="K313" s="33" t="n">
        <v>17750</v>
      </c>
      <c r="L313" s="34" t="n">
        <v>6</v>
      </c>
      <c r="M313" s="5" t="inlineStr">
        <is>
          <t>2026-10-14</t>
        </is>
      </c>
    </row>
    <row r="314">
      <c r="A314" s="5" t="inlineStr">
        <is>
          <t>contributions_top_zips</t>
        </is>
      </c>
      <c r="B314" s="5" t="n">
        <v>2026</v>
      </c>
      <c r="C314" s="5" t="inlineStr">
        <is>
          <t>Bob Brooks</t>
        </is>
      </c>
      <c r="D314" s="5" t="inlineStr">
        <is>
          <t>DEM</t>
        </is>
      </c>
      <c r="E314" s="5" t="n"/>
      <c r="F314" s="5" t="n"/>
      <c r="G314" s="5" t="inlineStr">
        <is>
          <t>10075</t>
        </is>
      </c>
      <c r="H314" s="5" t="n"/>
      <c r="I314" s="5" t="n"/>
      <c r="J314" s="5" t="n"/>
      <c r="K314" s="33" t="n">
        <v>17500</v>
      </c>
      <c r="L314" s="34" t="n">
        <v>5</v>
      </c>
      <c r="M314" s="5" t="inlineStr">
        <is>
          <t>2026-10-14</t>
        </is>
      </c>
    </row>
    <row r="315">
      <c r="A315" s="5" t="inlineStr">
        <is>
          <t>contributions_by_occupation</t>
        </is>
      </c>
      <c r="B315" s="5" t="n">
        <v>2026</v>
      </c>
      <c r="C315" s="5" t="inlineStr">
        <is>
          <t>Bob Brooks</t>
        </is>
      </c>
      <c r="D315" s="5" t="inlineStr">
        <is>
          <t>DEM</t>
        </is>
      </c>
      <c r="E315" s="5" t="n"/>
      <c r="F315" s="5" t="n"/>
      <c r="G315" s="5" t="inlineStr">
        <is>
          <t>NOT EMPLOYED</t>
        </is>
      </c>
      <c r="H315" s="5" t="n"/>
      <c r="I315" s="5" t="n"/>
      <c r="J315" s="5" t="n"/>
      <c r="K315" s="33" t="n">
        <v>453408.96</v>
      </c>
      <c r="L315" s="34" t="n">
        <v>950</v>
      </c>
      <c r="M315" s="5" t="inlineStr">
        <is>
          <t>2026-10-14</t>
        </is>
      </c>
    </row>
    <row r="316">
      <c r="A316" s="5" t="inlineStr">
        <is>
          <t>contributions_by_occupation</t>
        </is>
      </c>
      <c r="B316" s="5" t="n">
        <v>2026</v>
      </c>
      <c r="C316" s="5" t="inlineStr">
        <is>
          <t>Bob Brooks</t>
        </is>
      </c>
      <c r="D316" s="5" t="inlineStr">
        <is>
          <t>DEM</t>
        </is>
      </c>
      <c r="E316" s="5" t="n"/>
      <c r="F316" s="5" t="n"/>
      <c r="G316" s="5" t="inlineStr">
        <is>
          <t>RETIRED</t>
        </is>
      </c>
      <c r="H316" s="5" t="n"/>
      <c r="I316" s="5" t="n"/>
      <c r="J316" s="5" t="n"/>
      <c r="K316" s="33" t="n">
        <v>112066.52</v>
      </c>
      <c r="L316" s="34" t="n">
        <v>121</v>
      </c>
      <c r="M316" s="5" t="inlineStr">
        <is>
          <t>2026-10-14</t>
        </is>
      </c>
    </row>
    <row r="317">
      <c r="A317" s="5" t="inlineStr">
        <is>
          <t>contributions_by_occupation</t>
        </is>
      </c>
      <c r="B317" s="5" t="n">
        <v>2026</v>
      </c>
      <c r="C317" s="5" t="inlineStr">
        <is>
          <t>Bob Brooks</t>
        </is>
      </c>
      <c r="D317" s="5" t="inlineStr">
        <is>
          <t>DEM</t>
        </is>
      </c>
      <c r="E317" s="5" t="n"/>
      <c r="F317" s="5" t="n"/>
      <c r="G317" s="5" t="inlineStr">
        <is>
          <t>NO EMPLOYER</t>
        </is>
      </c>
      <c r="H317" s="5" t="n"/>
      <c r="I317" s="5" t="n"/>
      <c r="J317" s="5" t="n"/>
      <c r="K317" s="33" t="n">
        <v>98780.55</v>
      </c>
      <c r="L317" s="34" t="n">
        <v>118</v>
      </c>
      <c r="M317" s="5" t="inlineStr">
        <is>
          <t>2026-10-14</t>
        </is>
      </c>
    </row>
    <row r="318">
      <c r="A318" s="5" t="inlineStr">
        <is>
          <t>contributions_by_occupation</t>
        </is>
      </c>
      <c r="B318" s="5" t="n">
        <v>2026</v>
      </c>
      <c r="C318" s="5" t="inlineStr">
        <is>
          <t>Bob Brooks</t>
        </is>
      </c>
      <c r="D318" s="5" t="inlineStr">
        <is>
          <t>DEM</t>
        </is>
      </c>
      <c r="E318" s="5" t="n"/>
      <c r="F318" s="5" t="n"/>
      <c r="G318" s="5" t="inlineStr">
        <is>
          <t>ATTORNEY</t>
        </is>
      </c>
      <c r="H318" s="5" t="n"/>
      <c r="I318" s="5" t="n"/>
      <c r="J318" s="5" t="n"/>
      <c r="K318" s="33" t="n">
        <v>58164.13</v>
      </c>
      <c r="L318" s="34" t="n">
        <v>77</v>
      </c>
      <c r="M318" s="5" t="inlineStr">
        <is>
          <t>2026-10-14</t>
        </is>
      </c>
    </row>
    <row r="319">
      <c r="A319" s="5" t="inlineStr">
        <is>
          <t>contributions_by_occupation</t>
        </is>
      </c>
      <c r="B319" s="5" t="n">
        <v>2026</v>
      </c>
      <c r="C319" s="5" t="inlineStr">
        <is>
          <t>Bob Brooks</t>
        </is>
      </c>
      <c r="D319" s="5" t="inlineStr">
        <is>
          <t>DEM</t>
        </is>
      </c>
      <c r="E319" s="5" t="n"/>
      <c r="F319" s="5" t="n"/>
      <c r="G319" s="5" t="inlineStr">
        <is>
          <t>CEO</t>
        </is>
      </c>
      <c r="H319" s="5" t="n"/>
      <c r="I319" s="5" t="n"/>
      <c r="J319" s="5" t="n"/>
      <c r="K319" s="33" t="n">
        <v>44343.9</v>
      </c>
      <c r="L319" s="34" t="n">
        <v>21</v>
      </c>
      <c r="M319" s="5" t="inlineStr">
        <is>
          <t>2026-10-14</t>
        </is>
      </c>
    </row>
    <row r="320">
      <c r="A320" s="5" t="inlineStr">
        <is>
          <t>contributions_by_occupation</t>
        </is>
      </c>
      <c r="B320" s="5" t="n">
        <v>2026</v>
      </c>
      <c r="C320" s="5" t="inlineStr">
        <is>
          <t>Bob Brooks</t>
        </is>
      </c>
      <c r="D320" s="5" t="inlineStr">
        <is>
          <t>DEM</t>
        </is>
      </c>
      <c r="E320" s="5" t="n"/>
      <c r="F320" s="5" t="n"/>
      <c r="G320" s="5" t="inlineStr">
        <is>
          <t>PHYSICIAN</t>
        </is>
      </c>
      <c r="H320" s="5" t="n"/>
      <c r="I320" s="5" t="n"/>
      <c r="J320" s="5" t="n"/>
      <c r="K320" s="33" t="n">
        <v>26135.41</v>
      </c>
      <c r="L320" s="34" t="n">
        <v>38</v>
      </c>
      <c r="M320" s="5" t="inlineStr">
        <is>
          <t>2026-10-14</t>
        </is>
      </c>
    </row>
    <row r="321">
      <c r="A321" s="5" t="inlineStr">
        <is>
          <t>contributions_by_occupation</t>
        </is>
      </c>
      <c r="B321" s="5" t="n">
        <v>2026</v>
      </c>
      <c r="C321" s="5" t="inlineStr">
        <is>
          <t>Bob Brooks</t>
        </is>
      </c>
      <c r="D321" s="5" t="inlineStr">
        <is>
          <t>DEM</t>
        </is>
      </c>
      <c r="E321" s="5" t="n"/>
      <c r="F321" s="5" t="n"/>
      <c r="G321" s="5" t="inlineStr">
        <is>
          <t>FIREFIGHTER</t>
        </is>
      </c>
      <c r="H321" s="5" t="n"/>
      <c r="I321" s="5" t="n"/>
      <c r="J321" s="5" t="n"/>
      <c r="K321" s="33" t="n">
        <v>25304</v>
      </c>
      <c r="L321" s="34" t="n">
        <v>86</v>
      </c>
      <c r="M321" s="5" t="inlineStr">
        <is>
          <t>2026-10-14</t>
        </is>
      </c>
    </row>
    <row r="322">
      <c r="A322" s="5" t="inlineStr">
        <is>
          <t>contributions_by_occupation</t>
        </is>
      </c>
      <c r="B322" s="5" t="n">
        <v>2026</v>
      </c>
      <c r="C322" s="5" t="inlineStr">
        <is>
          <t>Bob Brooks</t>
        </is>
      </c>
      <c r="D322" s="5" t="inlineStr">
        <is>
          <t>DEM</t>
        </is>
      </c>
      <c r="E322" s="5" t="n"/>
      <c r="F322" s="5" t="n"/>
      <c r="G322" s="5" t="inlineStr">
        <is>
          <t>CONSULTANT</t>
        </is>
      </c>
      <c r="H322" s="5" t="n"/>
      <c r="I322" s="5" t="n"/>
      <c r="J322" s="5" t="n"/>
      <c r="K322" s="33" t="n">
        <v>25083.33</v>
      </c>
      <c r="L322" s="34" t="n">
        <v>53</v>
      </c>
      <c r="M322" s="5" t="inlineStr">
        <is>
          <t>2026-10-14</t>
        </is>
      </c>
    </row>
    <row r="323">
      <c r="A323" s="5" t="inlineStr">
        <is>
          <t>contributions_by_occupation</t>
        </is>
      </c>
      <c r="B323" s="5" t="n">
        <v>2026</v>
      </c>
      <c r="C323" s="5" t="inlineStr">
        <is>
          <t>Bob Brooks</t>
        </is>
      </c>
      <c r="D323" s="5" t="inlineStr">
        <is>
          <t>DEM</t>
        </is>
      </c>
      <c r="E323" s="5" t="n"/>
      <c r="F323" s="5" t="n"/>
      <c r="G323" s="5" t="inlineStr">
        <is>
          <t>PRESIDENT</t>
        </is>
      </c>
      <c r="H323" s="5" t="n"/>
      <c r="I323" s="5" t="n"/>
      <c r="J323" s="5" t="n"/>
      <c r="K323" s="33" t="n">
        <v>22300</v>
      </c>
      <c r="L323" s="34" t="n">
        <v>23</v>
      </c>
      <c r="M323" s="5" t="inlineStr">
        <is>
          <t>2026-10-14</t>
        </is>
      </c>
    </row>
    <row r="324">
      <c r="A324" s="5" t="inlineStr">
        <is>
          <t>contributions_by_occupation</t>
        </is>
      </c>
      <c r="B324" s="5" t="n">
        <v>2026</v>
      </c>
      <c r="C324" s="5" t="inlineStr">
        <is>
          <t>Bob Brooks</t>
        </is>
      </c>
      <c r="D324" s="5" t="inlineStr">
        <is>
          <t>DEM</t>
        </is>
      </c>
      <c r="E324" s="5" t="n"/>
      <c r="F324" s="5" t="n"/>
      <c r="G324" s="5" t="inlineStr">
        <is>
          <t>NULL</t>
        </is>
      </c>
      <c r="H324" s="5" t="n"/>
      <c r="I324" s="5" t="n"/>
      <c r="J324" s="5" t="n"/>
      <c r="K324" s="33" t="n">
        <v>20900</v>
      </c>
      <c r="L324" s="34" t="n">
        <v>17</v>
      </c>
      <c r="M324" s="5" t="inlineStr">
        <is>
          <t>2026-10-14</t>
        </is>
      </c>
    </row>
    <row r="325">
      <c r="A325" s="5" t="inlineStr">
        <is>
          <t>contributions_by_occupation</t>
        </is>
      </c>
      <c r="B325" s="5" t="n">
        <v>2026</v>
      </c>
      <c r="C325" s="5" t="inlineStr">
        <is>
          <t>Bob Brooks</t>
        </is>
      </c>
      <c r="D325" s="5" t="inlineStr">
        <is>
          <t>DEM</t>
        </is>
      </c>
      <c r="E325" s="5" t="n"/>
      <c r="F325" s="5" t="n"/>
      <c r="G325" s="5" t="inlineStr">
        <is>
          <t>MANAGING DIRECTOR</t>
        </is>
      </c>
      <c r="H325" s="5" t="n"/>
      <c r="I325" s="5" t="n"/>
      <c r="J325" s="5" t="n"/>
      <c r="K325" s="33" t="n">
        <v>16017.85</v>
      </c>
      <c r="L325" s="34" t="n">
        <v>7</v>
      </c>
      <c r="M325" s="5" t="inlineStr">
        <is>
          <t>2026-10-14</t>
        </is>
      </c>
    </row>
    <row r="326">
      <c r="A326" s="5" t="inlineStr">
        <is>
          <t>contributions_by_occupation</t>
        </is>
      </c>
      <c r="B326" s="5" t="n">
        <v>2026</v>
      </c>
      <c r="C326" s="5" t="inlineStr">
        <is>
          <t>Bob Brooks</t>
        </is>
      </c>
      <c r="D326" s="5" t="inlineStr">
        <is>
          <t>DEM</t>
        </is>
      </c>
      <c r="E326" s="5" t="n"/>
      <c r="F326" s="5" t="n"/>
      <c r="G326" s="5" t="inlineStr">
        <is>
          <t>FINANCE</t>
        </is>
      </c>
      <c r="H326" s="5" t="n"/>
      <c r="I326" s="5" t="n"/>
      <c r="J326" s="5" t="n"/>
      <c r="K326" s="33" t="n">
        <v>14472.22</v>
      </c>
      <c r="L326" s="34" t="n">
        <v>6</v>
      </c>
      <c r="M326" s="5" t="inlineStr">
        <is>
          <t>2026-10-14</t>
        </is>
      </c>
    </row>
    <row r="327">
      <c r="A327" s="5" t="inlineStr">
        <is>
          <t>spending_by_category</t>
        </is>
      </c>
      <c r="B327" s="5" t="n">
        <v>2026</v>
      </c>
      <c r="C327" s="5" t="inlineStr">
        <is>
          <t>Ryan Mackenzie</t>
        </is>
      </c>
      <c r="D327" s="5" t="inlineStr">
        <is>
          <t>REP</t>
        </is>
      </c>
      <c r="E327" s="5" t="n"/>
      <c r="F327" s="5" t="inlineStr">
        <is>
          <t>Fundraising</t>
        </is>
      </c>
      <c r="G327" s="5" t="n"/>
      <c r="H327" s="5" t="n"/>
      <c r="I327" s="5" t="n"/>
      <c r="J327" s="5" t="n"/>
      <c r="K327" s="33" t="n">
        <v>1017403.05</v>
      </c>
      <c r="L327" s="34" t="n">
        <v>508</v>
      </c>
      <c r="M327" s="5" t="inlineStr">
        <is>
          <t>2026-10-14</t>
        </is>
      </c>
    </row>
    <row r="328">
      <c r="A328" s="5" t="inlineStr">
        <is>
          <t>spending_by_category</t>
        </is>
      </c>
      <c r="B328" s="5" t="n">
        <v>2026</v>
      </c>
      <c r="C328" s="5" t="inlineStr">
        <is>
          <t>Ryan Mackenzie</t>
        </is>
      </c>
      <c r="D328" s="5" t="inlineStr">
        <is>
          <t>REP</t>
        </is>
      </c>
      <c r="E328" s="5" t="n"/>
      <c r="F328" s="5" t="inlineStr">
        <is>
          <t>Office and administrative</t>
        </is>
      </c>
      <c r="G328" s="5" t="n"/>
      <c r="H328" s="5" t="n"/>
      <c r="I328" s="5" t="n"/>
      <c r="J328" s="5" t="n"/>
      <c r="K328" s="33" t="n">
        <v>107158.6</v>
      </c>
      <c r="L328" s="34" t="n">
        <v>252</v>
      </c>
      <c r="M328" s="5" t="inlineStr">
        <is>
          <t>2026-10-14</t>
        </is>
      </c>
    </row>
    <row r="329">
      <c r="A329" s="5" t="inlineStr">
        <is>
          <t>spending_by_category</t>
        </is>
      </c>
      <c r="B329" s="5" t="n">
        <v>2026</v>
      </c>
      <c r="C329" s="5" t="inlineStr">
        <is>
          <t>Ryan Mackenzie</t>
        </is>
      </c>
      <c r="D329" s="5" t="inlineStr">
        <is>
          <t>REP</t>
        </is>
      </c>
      <c r="E329" s="5" t="n"/>
      <c r="F329" s="5" t="inlineStr">
        <is>
          <t>Consulting</t>
        </is>
      </c>
      <c r="G329" s="5" t="n"/>
      <c r="H329" s="5" t="n"/>
      <c r="I329" s="5" t="n"/>
      <c r="J329" s="5" t="n"/>
      <c r="K329" s="33" t="n">
        <v>98693</v>
      </c>
      <c r="L329" s="34" t="n">
        <v>51</v>
      </c>
      <c r="M329" s="5" t="inlineStr">
        <is>
          <t>2026-10-14</t>
        </is>
      </c>
    </row>
    <row r="330">
      <c r="A330" s="5" t="inlineStr">
        <is>
          <t>spending_by_category</t>
        </is>
      </c>
      <c r="B330" s="5" t="n">
        <v>2026</v>
      </c>
      <c r="C330" s="5" t="inlineStr">
        <is>
          <t>Ryan Mackenzie</t>
        </is>
      </c>
      <c r="D330" s="5" t="inlineStr">
        <is>
          <t>REP</t>
        </is>
      </c>
      <c r="E330" s="5" t="n"/>
      <c r="F330" s="5" t="inlineStr">
        <is>
          <t>Events and meals</t>
        </is>
      </c>
      <c r="G330" s="5" t="n"/>
      <c r="H330" s="5" t="n"/>
      <c r="I330" s="5" t="n"/>
      <c r="J330" s="5" t="n"/>
      <c r="K330" s="33" t="n">
        <v>57849.89</v>
      </c>
      <c r="L330" s="34" t="n">
        <v>140</v>
      </c>
      <c r="M330" s="5" t="inlineStr">
        <is>
          <t>2026-10-14</t>
        </is>
      </c>
    </row>
    <row r="331">
      <c r="A331" s="5" t="inlineStr">
        <is>
          <t>spending_by_category</t>
        </is>
      </c>
      <c r="B331" s="5" t="n">
        <v>2026</v>
      </c>
      <c r="C331" s="5" t="inlineStr">
        <is>
          <t>Ryan Mackenzie</t>
        </is>
      </c>
      <c r="D331" s="5" t="inlineStr">
        <is>
          <t>REP</t>
        </is>
      </c>
      <c r="E331" s="5" t="n"/>
      <c r="F331" s="5" t="inlineStr">
        <is>
          <t>Polling and research</t>
        </is>
      </c>
      <c r="G331" s="5" t="n"/>
      <c r="H331" s="5" t="n"/>
      <c r="I331" s="5" t="n"/>
      <c r="J331" s="5" t="n"/>
      <c r="K331" s="33" t="n">
        <v>41376.2</v>
      </c>
      <c r="L331" s="34" t="n">
        <v>19</v>
      </c>
      <c r="M331" s="5" t="inlineStr">
        <is>
          <t>2026-10-14</t>
        </is>
      </c>
    </row>
    <row r="332">
      <c r="A332" s="5" t="inlineStr">
        <is>
          <t>spending_by_category</t>
        </is>
      </c>
      <c r="B332" s="5" t="n">
        <v>2026</v>
      </c>
      <c r="C332" s="5" t="inlineStr">
        <is>
          <t>Ryan Mackenzie</t>
        </is>
      </c>
      <c r="D332" s="5" t="inlineStr">
        <is>
          <t>REP</t>
        </is>
      </c>
      <c r="E332" s="5" t="n"/>
      <c r="F332" s="5" t="inlineStr">
        <is>
          <t>Travel</t>
        </is>
      </c>
      <c r="G332" s="5" t="n"/>
      <c r="H332" s="5" t="n"/>
      <c r="I332" s="5" t="n"/>
      <c r="J332" s="5" t="n"/>
      <c r="K332" s="33" t="n">
        <v>36958.81</v>
      </c>
      <c r="L332" s="34" t="n">
        <v>91</v>
      </c>
      <c r="M332" s="5" t="inlineStr">
        <is>
          <t>2026-10-14</t>
        </is>
      </c>
    </row>
    <row r="333">
      <c r="A333" s="5" t="inlineStr">
        <is>
          <t>spending_by_category</t>
        </is>
      </c>
      <c r="B333" s="5" t="n">
        <v>2026</v>
      </c>
      <c r="C333" s="5" t="inlineStr">
        <is>
          <t>Ryan Mackenzie</t>
        </is>
      </c>
      <c r="D333" s="5" t="inlineStr">
        <is>
          <t>REP</t>
        </is>
      </c>
      <c r="E333" s="5" t="n"/>
      <c r="F333" s="5" t="inlineStr">
        <is>
          <t>Mail and printing</t>
        </is>
      </c>
      <c r="G333" s="5" t="n"/>
      <c r="H333" s="5" t="n"/>
      <c r="I333" s="5" t="n"/>
      <c r="J333" s="5" t="n"/>
      <c r="K333" s="33" t="n">
        <v>36488.46</v>
      </c>
      <c r="L333" s="34" t="n">
        <v>102</v>
      </c>
      <c r="M333" s="5" t="inlineStr">
        <is>
          <t>2026-10-14</t>
        </is>
      </c>
    </row>
    <row r="334">
      <c r="A334" s="5" t="inlineStr">
        <is>
          <t>spending_by_category</t>
        </is>
      </c>
      <c r="B334" s="5" t="n">
        <v>2026</v>
      </c>
      <c r="C334" s="5" t="inlineStr">
        <is>
          <t>Ryan Mackenzie</t>
        </is>
      </c>
      <c r="D334" s="5" t="inlineStr">
        <is>
          <t>REP</t>
        </is>
      </c>
      <c r="E334" s="5" t="n"/>
      <c r="F334" s="5" t="inlineStr">
        <is>
          <t>Signs and merchandise</t>
        </is>
      </c>
      <c r="G334" s="5" t="n"/>
      <c r="H334" s="5" t="n"/>
      <c r="I334" s="5" t="n"/>
      <c r="J334" s="5" t="n"/>
      <c r="K334" s="33" t="n">
        <v>24202.36</v>
      </c>
      <c r="L334" s="34" t="n">
        <v>12</v>
      </c>
      <c r="M334" s="5" t="inlineStr">
        <is>
          <t>2026-10-14</t>
        </is>
      </c>
    </row>
    <row r="335">
      <c r="A335" s="5" t="inlineStr">
        <is>
          <t>spending_by_category</t>
        </is>
      </c>
      <c r="B335" s="5" t="n">
        <v>2026</v>
      </c>
      <c r="C335" s="5" t="inlineStr">
        <is>
          <t>Ryan Mackenzie</t>
        </is>
      </c>
      <c r="D335" s="5" t="inlineStr">
        <is>
          <t>REP</t>
        </is>
      </c>
      <c r="E335" s="5" t="n"/>
      <c r="F335" s="5" t="inlineStr">
        <is>
          <t>Refunds</t>
        </is>
      </c>
      <c r="G335" s="5" t="n"/>
      <c r="H335" s="5" t="n"/>
      <c r="I335" s="5" t="n"/>
      <c r="J335" s="5" t="n"/>
      <c r="K335" s="33" t="n">
        <v>23204.28</v>
      </c>
      <c r="L335" s="34" t="n">
        <v>65</v>
      </c>
      <c r="M335" s="5" t="inlineStr">
        <is>
          <t>2026-10-14</t>
        </is>
      </c>
    </row>
    <row r="336">
      <c r="A336" s="5" t="inlineStr">
        <is>
          <t>spending_by_category</t>
        </is>
      </c>
      <c r="B336" s="5" t="n">
        <v>2026</v>
      </c>
      <c r="C336" s="5" t="inlineStr">
        <is>
          <t>Ryan Mackenzie</t>
        </is>
      </c>
      <c r="D336" s="5" t="inlineStr">
        <is>
          <t>REP</t>
        </is>
      </c>
      <c r="E336" s="5" t="n"/>
      <c r="F336" s="5" t="inlineStr">
        <is>
          <t>Contributions and donations</t>
        </is>
      </c>
      <c r="G336" s="5" t="n"/>
      <c r="H336" s="5" t="n"/>
      <c r="I336" s="5" t="n"/>
      <c r="J336" s="5" t="n"/>
      <c r="K336" s="33" t="n">
        <v>22575</v>
      </c>
      <c r="L336" s="34" t="n">
        <v>9</v>
      </c>
      <c r="M336" s="5" t="inlineStr">
        <is>
          <t>2026-10-14</t>
        </is>
      </c>
    </row>
    <row r="337">
      <c r="A337" s="5" t="inlineStr">
        <is>
          <t>spending_by_category</t>
        </is>
      </c>
      <c r="B337" s="5" t="n">
        <v>2026</v>
      </c>
      <c r="C337" s="5" t="inlineStr">
        <is>
          <t>Ryan Mackenzie</t>
        </is>
      </c>
      <c r="D337" s="5" t="inlineStr">
        <is>
          <t>REP</t>
        </is>
      </c>
      <c r="E337" s="5" t="n"/>
      <c r="F337" s="5" t="inlineStr">
        <is>
          <t>Media production</t>
        </is>
      </c>
      <c r="G337" s="5" t="n"/>
      <c r="H337" s="5" t="n"/>
      <c r="I337" s="5" t="n"/>
      <c r="J337" s="5" t="n"/>
      <c r="K337" s="33" t="n">
        <v>11600</v>
      </c>
      <c r="L337" s="34" t="n">
        <v>4</v>
      </c>
      <c r="M337" s="5" t="inlineStr">
        <is>
          <t>2026-10-14</t>
        </is>
      </c>
    </row>
    <row r="338">
      <c r="A338" s="5" t="inlineStr">
        <is>
          <t>spending_by_category</t>
        </is>
      </c>
      <c r="B338" s="5" t="n">
        <v>2026</v>
      </c>
      <c r="C338" s="5" t="inlineStr">
        <is>
          <t>Ryan Mackenzie</t>
        </is>
      </c>
      <c r="D338" s="5" t="inlineStr">
        <is>
          <t>REP</t>
        </is>
      </c>
      <c r="E338" s="5" t="n"/>
      <c r="F338" s="5" t="inlineStr">
        <is>
          <t>Staff and payroll</t>
        </is>
      </c>
      <c r="G338" s="5" t="n"/>
      <c r="H338" s="5" t="n"/>
      <c r="I338" s="5" t="n"/>
      <c r="J338" s="5" t="n"/>
      <c r="K338" s="33" t="n">
        <v>3465</v>
      </c>
      <c r="L338" s="34" t="n">
        <v>2</v>
      </c>
      <c r="M338" s="5" t="inlineStr">
        <is>
          <t>2026-10-14</t>
        </is>
      </c>
    </row>
    <row r="339">
      <c r="A339" s="5" t="inlineStr">
        <is>
          <t>spending_by_category</t>
        </is>
      </c>
      <c r="B339" s="5" t="n">
        <v>2026</v>
      </c>
      <c r="C339" s="5" t="inlineStr">
        <is>
          <t>Ryan Mackenzie</t>
        </is>
      </c>
      <c r="D339" s="5" t="inlineStr">
        <is>
          <t>REP</t>
        </is>
      </c>
      <c r="E339" s="5" t="n"/>
      <c r="F339" s="5" t="inlineStr">
        <is>
          <t>Print and radio advertising</t>
        </is>
      </c>
      <c r="G339" s="5" t="n"/>
      <c r="H339" s="5" t="n"/>
      <c r="I339" s="5" t="n"/>
      <c r="J339" s="5" t="n"/>
      <c r="K339" s="33" t="n">
        <v>3000</v>
      </c>
      <c r="L339" s="34" t="n">
        <v>3</v>
      </c>
      <c r="M339" s="5" t="inlineStr">
        <is>
          <t>2026-10-14</t>
        </is>
      </c>
    </row>
    <row r="340">
      <c r="A340" s="5" t="inlineStr">
        <is>
          <t>spending_by_category</t>
        </is>
      </c>
      <c r="B340" s="5" t="n">
        <v>2026</v>
      </c>
      <c r="C340" s="5" t="inlineStr">
        <is>
          <t>Ryan Mackenzie</t>
        </is>
      </c>
      <c r="D340" s="5" t="inlineStr">
        <is>
          <t>REP</t>
        </is>
      </c>
      <c r="E340" s="5" t="n"/>
      <c r="F340" s="5" t="inlineStr">
        <is>
          <t>Digital advertising</t>
        </is>
      </c>
      <c r="G340" s="5" t="n"/>
      <c r="H340" s="5" t="n"/>
      <c r="I340" s="5" t="n"/>
      <c r="J340" s="5" t="n"/>
      <c r="K340" s="33" t="n">
        <v>2586</v>
      </c>
      <c r="L340" s="34" t="n">
        <v>2</v>
      </c>
      <c r="M340" s="5" t="inlineStr">
        <is>
          <t>2026-10-14</t>
        </is>
      </c>
    </row>
    <row r="341">
      <c r="A341" s="5" t="inlineStr">
        <is>
          <t>spending_by_category</t>
        </is>
      </c>
      <c r="B341" s="5" t="n">
        <v>2026</v>
      </c>
      <c r="C341" s="5" t="inlineStr">
        <is>
          <t>Ryan Mackenzie</t>
        </is>
      </c>
      <c r="D341" s="5" t="inlineStr">
        <is>
          <t>REP</t>
        </is>
      </c>
      <c r="E341" s="5" t="n"/>
      <c r="F341" s="5" t="inlineStr">
        <is>
          <t>Field, phones and texting</t>
        </is>
      </c>
      <c r="G341" s="5" t="n"/>
      <c r="H341" s="5" t="n"/>
      <c r="I341" s="5" t="n"/>
      <c r="J341" s="5" t="n"/>
      <c r="K341" s="33" t="n">
        <v>850</v>
      </c>
      <c r="L341" s="34" t="n">
        <v>1</v>
      </c>
      <c r="M341" s="5" t="inlineStr">
        <is>
          <t>2026-10-14</t>
        </is>
      </c>
    </row>
    <row r="342">
      <c r="A342" s="5" t="inlineStr">
        <is>
          <t>spending_top_payees</t>
        </is>
      </c>
      <c r="B342" s="5" t="n">
        <v>2026</v>
      </c>
      <c r="C342" s="5" t="inlineStr">
        <is>
          <t>Ryan Mackenzie</t>
        </is>
      </c>
      <c r="D342" s="5" t="inlineStr">
        <is>
          <t>REP</t>
        </is>
      </c>
      <c r="E342" s="5" t="n"/>
      <c r="F342" s="5" t="inlineStr">
        <is>
          <t>Fundraising</t>
        </is>
      </c>
      <c r="G342" s="5" t="inlineStr">
        <is>
          <t>FRONTLINE STRATEGIES</t>
        </is>
      </c>
      <c r="H342" s="5" t="n"/>
      <c r="I342" s="5" t="inlineStr">
        <is>
          <t>ELGIN</t>
        </is>
      </c>
      <c r="J342" s="5" t="inlineStr">
        <is>
          <t>IL</t>
        </is>
      </c>
      <c r="K342" s="33" t="n">
        <v>332817.9</v>
      </c>
      <c r="L342" s="34" t="n">
        <v>107</v>
      </c>
      <c r="M342" s="5" t="inlineStr">
        <is>
          <t>2026-10-14</t>
        </is>
      </c>
    </row>
    <row r="343">
      <c r="A343" s="5" t="inlineStr">
        <is>
          <t>spending_top_payees</t>
        </is>
      </c>
      <c r="B343" s="5" t="n">
        <v>2026</v>
      </c>
      <c r="C343" s="5" t="inlineStr">
        <is>
          <t>Ryan Mackenzie</t>
        </is>
      </c>
      <c r="D343" s="5" t="inlineStr">
        <is>
          <t>REP</t>
        </is>
      </c>
      <c r="E343" s="5" t="n"/>
      <c r="F343" s="5" t="inlineStr">
        <is>
          <t>Fundraising</t>
        </is>
      </c>
      <c r="G343" s="5" t="inlineStr">
        <is>
          <t>DISTRICT CITY CONSULTING</t>
        </is>
      </c>
      <c r="H343" s="5" t="n"/>
      <c r="I343" s="5" t="inlineStr">
        <is>
          <t>WASHINGTON</t>
        </is>
      </c>
      <c r="J343" s="5" t="inlineStr">
        <is>
          <t>DC</t>
        </is>
      </c>
      <c r="K343" s="33" t="n">
        <v>166301.16</v>
      </c>
      <c r="L343" s="34" t="n">
        <v>10</v>
      </c>
      <c r="M343" s="5" t="inlineStr">
        <is>
          <t>2026-10-14</t>
        </is>
      </c>
    </row>
    <row r="344">
      <c r="A344" s="5" t="inlineStr">
        <is>
          <t>spending_top_payees</t>
        </is>
      </c>
      <c r="B344" s="5" t="n">
        <v>2026</v>
      </c>
      <c r="C344" s="5" t="inlineStr">
        <is>
          <t>Ryan Mackenzie</t>
        </is>
      </c>
      <c r="D344" s="5" t="inlineStr">
        <is>
          <t>REP</t>
        </is>
      </c>
      <c r="E344" s="5" t="n"/>
      <c r="F344" s="5" t="inlineStr">
        <is>
          <t>Fundraising</t>
        </is>
      </c>
      <c r="G344" s="5" t="inlineStr">
        <is>
          <t>CHRISTY CONSULTING LLC</t>
        </is>
      </c>
      <c r="H344" s="5" t="n"/>
      <c r="I344" s="5" t="inlineStr">
        <is>
          <t>PHILADELPHIA</t>
        </is>
      </c>
      <c r="J344" s="5" t="inlineStr">
        <is>
          <t>PA</t>
        </is>
      </c>
      <c r="K344" s="33" t="n">
        <v>132892.75</v>
      </c>
      <c r="L344" s="34" t="n">
        <v>27</v>
      </c>
      <c r="M344" s="5" t="inlineStr">
        <is>
          <t>2026-10-14</t>
        </is>
      </c>
    </row>
    <row r="345">
      <c r="A345" s="5" t="inlineStr">
        <is>
          <t>spending_top_payees</t>
        </is>
      </c>
      <c r="B345" s="5" t="n">
        <v>2026</v>
      </c>
      <c r="C345" s="5" t="inlineStr">
        <is>
          <t>Ryan Mackenzie</t>
        </is>
      </c>
      <c r="D345" s="5" t="inlineStr">
        <is>
          <t>REP</t>
        </is>
      </c>
      <c r="E345" s="5" t="n"/>
      <c r="F345" s="5" t="inlineStr">
        <is>
          <t>Fundraising</t>
        </is>
      </c>
      <c r="G345" s="5" t="inlineStr">
        <is>
          <t>FULFILLMENT SOLUTIONS INC.</t>
        </is>
      </c>
      <c r="H345" s="5" t="n"/>
      <c r="I345" s="5" t="inlineStr">
        <is>
          <t>STERLING</t>
        </is>
      </c>
      <c r="J345" s="5" t="inlineStr">
        <is>
          <t>VA</t>
        </is>
      </c>
      <c r="K345" s="33" t="n">
        <v>74152.92</v>
      </c>
      <c r="L345" s="34" t="n">
        <v>31</v>
      </c>
      <c r="M345" s="5" t="inlineStr">
        <is>
          <t>2026-10-14</t>
        </is>
      </c>
    </row>
    <row r="346">
      <c r="A346" s="5" t="inlineStr">
        <is>
          <t>spending_top_payees</t>
        </is>
      </c>
      <c r="B346" s="5" t="n">
        <v>2026</v>
      </c>
      <c r="C346" s="5" t="inlineStr">
        <is>
          <t>Ryan Mackenzie</t>
        </is>
      </c>
      <c r="D346" s="5" t="inlineStr">
        <is>
          <t>REP</t>
        </is>
      </c>
      <c r="E346" s="5" t="n"/>
      <c r="F346" s="5" t="inlineStr">
        <is>
          <t>Fundraising</t>
        </is>
      </c>
      <c r="G346" s="5" t="inlineStr">
        <is>
          <t>DIRECT MAIL FUNDRAISING LLC</t>
        </is>
      </c>
      <c r="H346" s="5" t="n"/>
      <c r="I346" s="5" t="inlineStr">
        <is>
          <t>ASHBURN</t>
        </is>
      </c>
      <c r="J346" s="5" t="inlineStr">
        <is>
          <t>VA</t>
        </is>
      </c>
      <c r="K346" s="33" t="n">
        <v>64451.03</v>
      </c>
      <c r="L346" s="34" t="n">
        <v>16</v>
      </c>
      <c r="M346" s="5" t="inlineStr">
        <is>
          <t>2026-10-14</t>
        </is>
      </c>
    </row>
    <row r="347">
      <c r="A347" s="5" t="inlineStr">
        <is>
          <t>spending_top_payees</t>
        </is>
      </c>
      <c r="B347" s="5" t="n">
        <v>2026</v>
      </c>
      <c r="C347" s="5" t="inlineStr">
        <is>
          <t>Ryan Mackenzie</t>
        </is>
      </c>
      <c r="D347" s="5" t="inlineStr">
        <is>
          <t>REP</t>
        </is>
      </c>
      <c r="E347" s="5" t="n"/>
      <c r="F347" s="5" t="inlineStr">
        <is>
          <t>Consulting</t>
        </is>
      </c>
      <c r="G347" s="5" t="inlineStr">
        <is>
          <t>PATHFINDER COMMUNICATIONS, LLC</t>
        </is>
      </c>
      <c r="H347" s="5" t="n"/>
      <c r="I347" s="5" t="inlineStr">
        <is>
          <t>BERWYN</t>
        </is>
      </c>
      <c r="J347" s="5" t="inlineStr">
        <is>
          <t>PA</t>
        </is>
      </c>
      <c r="K347" s="33" t="n">
        <v>52876.5</v>
      </c>
      <c r="L347" s="34" t="n">
        <v>15</v>
      </c>
      <c r="M347" s="5" t="inlineStr">
        <is>
          <t>2026-10-14</t>
        </is>
      </c>
    </row>
    <row r="348">
      <c r="A348" s="5" t="inlineStr">
        <is>
          <t>spending_top_payees</t>
        </is>
      </c>
      <c r="B348" s="5" t="n">
        <v>2026</v>
      </c>
      <c r="C348" s="5" t="inlineStr">
        <is>
          <t>Ryan Mackenzie</t>
        </is>
      </c>
      <c r="D348" s="5" t="inlineStr">
        <is>
          <t>REP</t>
        </is>
      </c>
      <c r="E348" s="5" t="n"/>
      <c r="F348" s="5" t="inlineStr">
        <is>
          <t>Consulting</t>
        </is>
      </c>
      <c r="G348" s="5" t="inlineStr">
        <is>
          <t>WELLER, ANDRES</t>
        </is>
      </c>
      <c r="H348" s="5" t="n"/>
      <c r="I348" s="5" t="inlineStr">
        <is>
          <t>EMMAUS</t>
        </is>
      </c>
      <c r="J348" s="5" t="inlineStr">
        <is>
          <t>PA</t>
        </is>
      </c>
      <c r="K348" s="33" t="n">
        <v>43138.83</v>
      </c>
      <c r="L348" s="34" t="n">
        <v>28</v>
      </c>
      <c r="M348" s="5" t="inlineStr">
        <is>
          <t>2026-10-14</t>
        </is>
      </c>
    </row>
    <row r="349">
      <c r="A349" s="5" t="inlineStr">
        <is>
          <t>spending_top_payees</t>
        </is>
      </c>
      <c r="B349" s="5" t="n">
        <v>2026</v>
      </c>
      <c r="C349" s="5" t="inlineStr">
        <is>
          <t>Ryan Mackenzie</t>
        </is>
      </c>
      <c r="D349" s="5" t="inlineStr">
        <is>
          <t>REP</t>
        </is>
      </c>
      <c r="E349" s="5" t="n"/>
      <c r="F349" s="5" t="inlineStr">
        <is>
          <t>Fundraising</t>
        </is>
      </c>
      <c r="G349" s="5" t="inlineStr">
        <is>
          <t>WINRED TECHNICAL SERVICES, LLC</t>
        </is>
      </c>
      <c r="H349" s="5" t="n"/>
      <c r="I349" s="5" t="inlineStr">
        <is>
          <t>CHEYENNE</t>
        </is>
      </c>
      <c r="J349" s="5" t="inlineStr">
        <is>
          <t>WY</t>
        </is>
      </c>
      <c r="K349" s="33" t="n">
        <v>41412.94</v>
      </c>
      <c r="L349" s="34" t="n">
        <v>83</v>
      </c>
      <c r="M349" s="5" t="inlineStr">
        <is>
          <t>2026-10-14</t>
        </is>
      </c>
    </row>
    <row r="350">
      <c r="A350" s="5" t="inlineStr">
        <is>
          <t>spending_top_payees</t>
        </is>
      </c>
      <c r="B350" s="5" t="n">
        <v>2026</v>
      </c>
      <c r="C350" s="5" t="inlineStr">
        <is>
          <t>Ryan Mackenzie</t>
        </is>
      </c>
      <c r="D350" s="5" t="inlineStr">
        <is>
          <t>REP</t>
        </is>
      </c>
      <c r="E350" s="5" t="n"/>
      <c r="F350" s="5" t="inlineStr">
        <is>
          <t>Fundraising</t>
        </is>
      </c>
      <c r="G350" s="5" t="inlineStr">
        <is>
          <t>ELITE CONSULTING</t>
        </is>
      </c>
      <c r="H350" s="5" t="n"/>
      <c r="I350" s="5" t="inlineStr">
        <is>
          <t>WASHINGTON</t>
        </is>
      </c>
      <c r="J350" s="5" t="inlineStr">
        <is>
          <t>DC</t>
        </is>
      </c>
      <c r="K350" s="33" t="n">
        <v>40643.9</v>
      </c>
      <c r="L350" s="34" t="n">
        <v>10</v>
      </c>
      <c r="M350" s="5" t="inlineStr">
        <is>
          <t>2026-10-14</t>
        </is>
      </c>
    </row>
    <row r="351">
      <c r="A351" s="5" t="inlineStr">
        <is>
          <t>spending_top_payees</t>
        </is>
      </c>
      <c r="B351" s="5" t="n">
        <v>2026</v>
      </c>
      <c r="C351" s="5" t="inlineStr">
        <is>
          <t>Ryan Mackenzie</t>
        </is>
      </c>
      <c r="D351" s="5" t="inlineStr">
        <is>
          <t>REP</t>
        </is>
      </c>
      <c r="E351" s="5" t="n"/>
      <c r="F351" s="5" t="inlineStr">
        <is>
          <t>Polling and research</t>
        </is>
      </c>
      <c r="G351" s="5" t="inlineStr">
        <is>
          <t>THE TARRANCE GROUP</t>
        </is>
      </c>
      <c r="H351" s="5" t="n"/>
      <c r="I351" s="5" t="inlineStr">
        <is>
          <t>ALEXANDRIA</t>
        </is>
      </c>
      <c r="J351" s="5" t="inlineStr">
        <is>
          <t>VA</t>
        </is>
      </c>
      <c r="K351" s="33" t="n">
        <v>38124.5</v>
      </c>
      <c r="L351" s="34" t="n">
        <v>2</v>
      </c>
      <c r="M351" s="5" t="inlineStr">
        <is>
          <t>2026-10-14</t>
        </is>
      </c>
    </row>
    <row r="352">
      <c r="A352" s="5" t="inlineStr">
        <is>
          <t>spending_top_payees</t>
        </is>
      </c>
      <c r="B352" s="5" t="n">
        <v>2026</v>
      </c>
      <c r="C352" s="5" t="inlineStr">
        <is>
          <t>Ryan Mackenzie</t>
        </is>
      </c>
      <c r="D352" s="5" t="inlineStr">
        <is>
          <t>REP</t>
        </is>
      </c>
      <c r="E352" s="5" t="n"/>
      <c r="F352" s="5" t="inlineStr">
        <is>
          <t>Office and administrative</t>
        </is>
      </c>
      <c r="G352" s="5" t="inlineStr">
        <is>
          <t>RIGHTWAY COMPLIANCE LLC</t>
        </is>
      </c>
      <c r="H352" s="5" t="n"/>
      <c r="I352" s="5" t="inlineStr">
        <is>
          <t>HARRISBURG</t>
        </is>
      </c>
      <c r="J352" s="5" t="inlineStr">
        <is>
          <t>PA</t>
        </is>
      </c>
      <c r="K352" s="33" t="n">
        <v>36592.58</v>
      </c>
      <c r="L352" s="34" t="n">
        <v>18</v>
      </c>
      <c r="M352" s="5" t="inlineStr">
        <is>
          <t>2026-10-14</t>
        </is>
      </c>
    </row>
    <row r="353">
      <c r="A353" s="5" t="inlineStr">
        <is>
          <t>spending_top_payees</t>
        </is>
      </c>
      <c r="B353" s="5" t="n">
        <v>2026</v>
      </c>
      <c r="C353" s="5" t="inlineStr">
        <is>
          <t>Ryan Mackenzie</t>
        </is>
      </c>
      <c r="D353" s="5" t="inlineStr">
        <is>
          <t>REP</t>
        </is>
      </c>
      <c r="E353" s="5" t="n"/>
      <c r="F353" s="5" t="inlineStr">
        <is>
          <t>Office and administrative</t>
        </is>
      </c>
      <c r="G353" s="5" t="inlineStr">
        <is>
          <t>MANAGED BY EQUINOX INC</t>
        </is>
      </c>
      <c r="H353" s="5" t="n"/>
      <c r="I353" s="5" t="inlineStr">
        <is>
          <t>BETHLEHEM</t>
        </is>
      </c>
      <c r="J353" s="5" t="inlineStr">
        <is>
          <t>PA</t>
        </is>
      </c>
      <c r="K353" s="33" t="n">
        <v>25875</v>
      </c>
      <c r="L353" s="34" t="n">
        <v>5</v>
      </c>
      <c r="M353" s="5" t="inlineStr">
        <is>
          <t>2026-10-14</t>
        </is>
      </c>
    </row>
    <row r="354">
      <c r="A354" s="5" t="inlineStr">
        <is>
          <t>spending_top_payees</t>
        </is>
      </c>
      <c r="B354" s="5" t="n">
        <v>2026</v>
      </c>
      <c r="C354" s="5" t="inlineStr">
        <is>
          <t>Ryan Mackenzie</t>
        </is>
      </c>
      <c r="D354" s="5" t="inlineStr">
        <is>
          <t>REP</t>
        </is>
      </c>
      <c r="E354" s="5" t="n"/>
      <c r="F354" s="5" t="inlineStr">
        <is>
          <t>Fundraising</t>
        </is>
      </c>
      <c r="G354" s="5" t="inlineStr">
        <is>
          <t>MARRIOTT GROUP</t>
        </is>
      </c>
      <c r="H354" s="5" t="n"/>
      <c r="I354" s="5" t="inlineStr">
        <is>
          <t>LEESBURG</t>
        </is>
      </c>
      <c r="J354" s="5" t="inlineStr">
        <is>
          <t>VA</t>
        </is>
      </c>
      <c r="K354" s="33" t="n">
        <v>24000</v>
      </c>
      <c r="L354" s="34" t="n">
        <v>8</v>
      </c>
      <c r="M354" s="5" t="inlineStr">
        <is>
          <t>2026-10-14</t>
        </is>
      </c>
    </row>
    <row r="355">
      <c r="A355" s="5" t="inlineStr">
        <is>
          <t>spending_top_payees</t>
        </is>
      </c>
      <c r="B355" s="5" t="n">
        <v>2026</v>
      </c>
      <c r="C355" s="5" t="inlineStr">
        <is>
          <t>Ryan Mackenzie</t>
        </is>
      </c>
      <c r="D355" s="5" t="inlineStr">
        <is>
          <t>REP</t>
        </is>
      </c>
      <c r="E355" s="5" t="n"/>
      <c r="F355" s="5" t="inlineStr">
        <is>
          <t>Fundraising</t>
        </is>
      </c>
      <c r="G355" s="5" t="inlineStr">
        <is>
          <t>ONPOINT DATA STRATEGY LLC</t>
        </is>
      </c>
      <c r="H355" s="5" t="n"/>
      <c r="I355" s="5" t="inlineStr">
        <is>
          <t>ASHBURN</t>
        </is>
      </c>
      <c r="J355" s="5" t="inlineStr">
        <is>
          <t>VA</t>
        </is>
      </c>
      <c r="K355" s="33" t="n">
        <v>20586.36</v>
      </c>
      <c r="L355" s="34" t="n">
        <v>18</v>
      </c>
      <c r="M355" s="5" t="inlineStr">
        <is>
          <t>2026-10-14</t>
        </is>
      </c>
    </row>
    <row r="356">
      <c r="A356" s="5" t="inlineStr">
        <is>
          <t>spending_top_payees</t>
        </is>
      </c>
      <c r="B356" s="5" t="n">
        <v>2026</v>
      </c>
      <c r="C356" s="5" t="inlineStr">
        <is>
          <t>Ryan Mackenzie</t>
        </is>
      </c>
      <c r="D356" s="5" t="inlineStr">
        <is>
          <t>REP</t>
        </is>
      </c>
      <c r="E356" s="5" t="n"/>
      <c r="F356" s="5" t="inlineStr">
        <is>
          <t>Travel</t>
        </is>
      </c>
      <c r="G356" s="5" t="inlineStr">
        <is>
          <t>MACKENZIE, RYAN</t>
        </is>
      </c>
      <c r="H356" s="5" t="n"/>
      <c r="I356" s="5" t="inlineStr">
        <is>
          <t>EMMAUS</t>
        </is>
      </c>
      <c r="J356" s="5" t="inlineStr">
        <is>
          <t>PA</t>
        </is>
      </c>
      <c r="K356" s="33" t="n">
        <v>20183.55</v>
      </c>
      <c r="L356" s="34" t="n">
        <v>36</v>
      </c>
      <c r="M356" s="5" t="inlineStr">
        <is>
          <t>2026-10-14</t>
        </is>
      </c>
    </row>
    <row r="357">
      <c r="A357" s="5" t="inlineStr">
        <is>
          <t>spending_by_payee_state</t>
        </is>
      </c>
      <c r="B357" s="5" t="n">
        <v>2026</v>
      </c>
      <c r="C357" s="5" t="inlineStr">
        <is>
          <t>Ryan Mackenzie</t>
        </is>
      </c>
      <c r="D357" s="5" t="inlineStr">
        <is>
          <t>REP</t>
        </is>
      </c>
      <c r="E357" s="5" t="n"/>
      <c r="F357" s="5" t="n"/>
      <c r="G357" s="5" t="n"/>
      <c r="H357" s="5" t="n"/>
      <c r="I357" s="5" t="n"/>
      <c r="J357" s="5" t="inlineStr">
        <is>
          <t>PA</t>
        </is>
      </c>
      <c r="K357" s="33" t="n">
        <v>459357.16</v>
      </c>
      <c r="L357" s="34" t="n">
        <v>424</v>
      </c>
      <c r="M357" s="5" t="inlineStr">
        <is>
          <t>2026-10-14</t>
        </is>
      </c>
    </row>
    <row r="358">
      <c r="A358" s="5" t="inlineStr">
        <is>
          <t>spending_by_payee_state</t>
        </is>
      </c>
      <c r="B358" s="5" t="n">
        <v>2026</v>
      </c>
      <c r="C358" s="5" t="inlineStr">
        <is>
          <t>Ryan Mackenzie</t>
        </is>
      </c>
      <c r="D358" s="5" t="inlineStr">
        <is>
          <t>REP</t>
        </is>
      </c>
      <c r="E358" s="5" t="n"/>
      <c r="F358" s="5" t="n"/>
      <c r="G358" s="5" t="n"/>
      <c r="H358" s="5" t="n"/>
      <c r="I358" s="5" t="n"/>
      <c r="J358" s="5" t="inlineStr">
        <is>
          <t>IL</t>
        </is>
      </c>
      <c r="K358" s="33" t="n">
        <v>335283.52</v>
      </c>
      <c r="L358" s="34" t="n">
        <v>113</v>
      </c>
      <c r="M358" s="5" t="inlineStr">
        <is>
          <t>2026-10-14</t>
        </is>
      </c>
    </row>
    <row r="359">
      <c r="A359" s="5" t="inlineStr">
        <is>
          <t>spending_by_payee_state</t>
        </is>
      </c>
      <c r="B359" s="5" t="n">
        <v>2026</v>
      </c>
      <c r="C359" s="5" t="inlineStr">
        <is>
          <t>Ryan Mackenzie</t>
        </is>
      </c>
      <c r="D359" s="5" t="inlineStr">
        <is>
          <t>REP</t>
        </is>
      </c>
      <c r="E359" s="5" t="n"/>
      <c r="F359" s="5" t="n"/>
      <c r="G359" s="5" t="n"/>
      <c r="H359" s="5" t="n"/>
      <c r="I359" s="5" t="n"/>
      <c r="J359" s="5" t="inlineStr">
        <is>
          <t>VA</t>
        </is>
      </c>
      <c r="K359" s="33" t="n">
        <v>317942.8</v>
      </c>
      <c r="L359" s="34" t="n">
        <v>224</v>
      </c>
      <c r="M359" s="5" t="inlineStr">
        <is>
          <t>2026-10-14</t>
        </is>
      </c>
    </row>
    <row r="360">
      <c r="A360" s="5" t="inlineStr">
        <is>
          <t>spending_by_payee_state</t>
        </is>
      </c>
      <c r="B360" s="5" t="n">
        <v>2026</v>
      </c>
      <c r="C360" s="5" t="inlineStr">
        <is>
          <t>Ryan Mackenzie</t>
        </is>
      </c>
      <c r="D360" s="5" t="inlineStr">
        <is>
          <t>REP</t>
        </is>
      </c>
      <c r="E360" s="5" t="n"/>
      <c r="F360" s="5" t="n"/>
      <c r="G360" s="5" t="n"/>
      <c r="H360" s="5" t="n"/>
      <c r="I360" s="5" t="n"/>
      <c r="J360" s="5" t="inlineStr">
        <is>
          <t>DC</t>
        </is>
      </c>
      <c r="K360" s="33" t="n">
        <v>242504.01</v>
      </c>
      <c r="L360" s="34" t="n">
        <v>81</v>
      </c>
      <c r="M360" s="5" t="inlineStr">
        <is>
          <t>2026-10-14</t>
        </is>
      </c>
    </row>
    <row r="361">
      <c r="A361" s="5" t="inlineStr">
        <is>
          <t>spending_by_payee_state</t>
        </is>
      </c>
      <c r="B361" s="5" t="n">
        <v>2026</v>
      </c>
      <c r="C361" s="5" t="inlineStr">
        <is>
          <t>Ryan Mackenzie</t>
        </is>
      </c>
      <c r="D361" s="5" t="inlineStr">
        <is>
          <t>REP</t>
        </is>
      </c>
      <c r="E361" s="5" t="n"/>
      <c r="F361" s="5" t="n"/>
      <c r="G361" s="5" t="n"/>
      <c r="H361" s="5" t="n"/>
      <c r="I361" s="5" t="n"/>
      <c r="J361" s="5" t="inlineStr">
        <is>
          <t>NY</t>
        </is>
      </c>
      <c r="K361" s="33" t="n">
        <v>17435.36</v>
      </c>
      <c r="L361" s="34" t="n">
        <v>17</v>
      </c>
      <c r="M361" s="5" t="inlineStr">
        <is>
          <t>2026-10-14</t>
        </is>
      </c>
    </row>
    <row r="362">
      <c r="A362" s="5" t="inlineStr">
        <is>
          <t>spending_by_payee_state</t>
        </is>
      </c>
      <c r="B362" s="5" t="n">
        <v>2026</v>
      </c>
      <c r="C362" s="5" t="inlineStr">
        <is>
          <t>Ryan Mackenzie</t>
        </is>
      </c>
      <c r="D362" s="5" t="inlineStr">
        <is>
          <t>REP</t>
        </is>
      </c>
      <c r="E362" s="5" t="n"/>
      <c r="F362" s="5" t="n"/>
      <c r="G362" s="5" t="n"/>
      <c r="H362" s="5" t="n"/>
      <c r="I362" s="5" t="n"/>
      <c r="J362" s="5" t="inlineStr">
        <is>
          <t>GA</t>
        </is>
      </c>
      <c r="K362" s="33" t="n">
        <v>17061.51</v>
      </c>
      <c r="L362" s="34" t="n">
        <v>42</v>
      </c>
      <c r="M362" s="5" t="inlineStr">
        <is>
          <t>2026-10-14</t>
        </is>
      </c>
    </row>
    <row r="363">
      <c r="A363" s="5" t="inlineStr">
        <is>
          <t>spending_by_payee_state</t>
        </is>
      </c>
      <c r="B363" s="5" t="n">
        <v>2026</v>
      </c>
      <c r="C363" s="5" t="inlineStr">
        <is>
          <t>Ryan Mackenzie</t>
        </is>
      </c>
      <c r="D363" s="5" t="inlineStr">
        <is>
          <t>REP</t>
        </is>
      </c>
      <c r="E363" s="5" t="n"/>
      <c r="F363" s="5" t="n"/>
      <c r="G363" s="5" t="n"/>
      <c r="H363" s="5" t="n"/>
      <c r="I363" s="5" t="n"/>
      <c r="J363" s="5" t="inlineStr">
        <is>
          <t>FL</t>
        </is>
      </c>
      <c r="K363" s="33" t="n">
        <v>15855.75</v>
      </c>
      <c r="L363" s="34" t="n">
        <v>17</v>
      </c>
      <c r="M363" s="5" t="inlineStr">
        <is>
          <t>2026-10-14</t>
        </is>
      </c>
    </row>
    <row r="364">
      <c r="A364" s="5" t="inlineStr">
        <is>
          <t>spending_by_payee_state</t>
        </is>
      </c>
      <c r="B364" s="5" t="n">
        <v>2026</v>
      </c>
      <c r="C364" s="5" t="inlineStr">
        <is>
          <t>Ryan Mackenzie</t>
        </is>
      </c>
      <c r="D364" s="5" t="inlineStr">
        <is>
          <t>REP</t>
        </is>
      </c>
      <c r="E364" s="5" t="n"/>
      <c r="F364" s="5" t="n"/>
      <c r="G364" s="5" t="n"/>
      <c r="H364" s="5" t="n"/>
      <c r="I364" s="5" t="n"/>
      <c r="J364" s="5" t="inlineStr">
        <is>
          <t>CA</t>
        </is>
      </c>
      <c r="K364" s="33" t="n">
        <v>15050.7</v>
      </c>
      <c r="L364" s="34" t="n">
        <v>59</v>
      </c>
      <c r="M364" s="5" t="inlineStr">
        <is>
          <t>2026-10-14</t>
        </is>
      </c>
    </row>
    <row r="365">
      <c r="A365" s="5" t="inlineStr">
        <is>
          <t>spending_by_payee_state</t>
        </is>
      </c>
      <c r="B365" s="5" t="n">
        <v>2026</v>
      </c>
      <c r="C365" s="5" t="inlineStr">
        <is>
          <t>Ryan Mackenzie</t>
        </is>
      </c>
      <c r="D365" s="5" t="inlineStr">
        <is>
          <t>REP</t>
        </is>
      </c>
      <c r="E365" s="5" t="n"/>
      <c r="F365" s="5" t="n"/>
      <c r="G365" s="5" t="n"/>
      <c r="H365" s="5" t="n"/>
      <c r="I365" s="5" t="n"/>
      <c r="J365" s="5" t="inlineStr">
        <is>
          <t>TX</t>
        </is>
      </c>
      <c r="K365" s="33" t="n">
        <v>14439.86</v>
      </c>
      <c r="L365" s="34" t="n">
        <v>67</v>
      </c>
      <c r="M365" s="5" t="inlineStr">
        <is>
          <t>2026-10-14</t>
        </is>
      </c>
    </row>
    <row r="366">
      <c r="A366" s="5" t="inlineStr">
        <is>
          <t>spending_by_payee_state</t>
        </is>
      </c>
      <c r="B366" s="5" t="n">
        <v>2026</v>
      </c>
      <c r="C366" s="5" t="inlineStr">
        <is>
          <t>Ryan Mackenzie</t>
        </is>
      </c>
      <c r="D366" s="5" t="inlineStr">
        <is>
          <t>REP</t>
        </is>
      </c>
      <c r="E366" s="5" t="n"/>
      <c r="F366" s="5" t="n"/>
      <c r="G366" s="5" t="n"/>
      <c r="H366" s="5" t="n"/>
      <c r="I366" s="5" t="n"/>
      <c r="J366" s="5" t="inlineStr">
        <is>
          <t>DE</t>
        </is>
      </c>
      <c r="K366" s="33" t="n">
        <v>12170.8</v>
      </c>
      <c r="L366" s="34" t="n">
        <v>10</v>
      </c>
      <c r="M366" s="5" t="inlineStr">
        <is>
          <t>2026-10-14</t>
        </is>
      </c>
    </row>
    <row r="367">
      <c r="A367" s="5" t="inlineStr">
        <is>
          <t>spending_by_payee_state</t>
        </is>
      </c>
      <c r="B367" s="5" t="n">
        <v>2026</v>
      </c>
      <c r="C367" s="5" t="inlineStr">
        <is>
          <t>Ryan Mackenzie</t>
        </is>
      </c>
      <c r="D367" s="5" t="inlineStr">
        <is>
          <t>REP</t>
        </is>
      </c>
      <c r="E367" s="5" t="n"/>
      <c r="F367" s="5" t="n"/>
      <c r="G367" s="5" t="n"/>
      <c r="H367" s="5" t="n"/>
      <c r="I367" s="5" t="n"/>
      <c r="J367" s="5" t="inlineStr">
        <is>
          <t>MA</t>
        </is>
      </c>
      <c r="K367" s="33" t="n">
        <v>7613.56</v>
      </c>
      <c r="L367" s="34" t="n">
        <v>56</v>
      </c>
      <c r="M367" s="5" t="inlineStr">
        <is>
          <t>2026-10-14</t>
        </is>
      </c>
    </row>
    <row r="368">
      <c r="A368" s="5" t="inlineStr">
        <is>
          <t>spending_by_payee_state</t>
        </is>
      </c>
      <c r="B368" s="5" t="n">
        <v>2026</v>
      </c>
      <c r="C368" s="5" t="inlineStr">
        <is>
          <t>Ryan Mackenzie</t>
        </is>
      </c>
      <c r="D368" s="5" t="inlineStr">
        <is>
          <t>REP</t>
        </is>
      </c>
      <c r="E368" s="5" t="n"/>
      <c r="F368" s="5" t="n"/>
      <c r="G368" s="5" t="n"/>
      <c r="H368" s="5" t="n"/>
      <c r="I368" s="5" t="n"/>
      <c r="J368" s="5" t="inlineStr">
        <is>
          <t>WY</t>
        </is>
      </c>
      <c r="K368" s="33" t="n">
        <v>6665.13</v>
      </c>
      <c r="L368" s="34" t="n">
        <v>22</v>
      </c>
      <c r="M368" s="5" t="inlineStr">
        <is>
          <t>2026-10-14</t>
        </is>
      </c>
    </row>
    <row r="369">
      <c r="A369" s="5" t="inlineStr">
        <is>
          <t>spending_by_payee_state</t>
        </is>
      </c>
      <c r="B369" s="5" t="n">
        <v>2026</v>
      </c>
      <c r="C369" s="5" t="inlineStr">
        <is>
          <t>Ryan Mackenzie</t>
        </is>
      </c>
      <c r="D369" s="5" t="inlineStr">
        <is>
          <t>REP</t>
        </is>
      </c>
      <c r="E369" s="5" t="n"/>
      <c r="F369" s="5" t="n"/>
      <c r="G369" s="5" t="n"/>
      <c r="H369" s="5" t="n"/>
      <c r="I369" s="5" t="n"/>
      <c r="J369" s="5" t="inlineStr">
        <is>
          <t>NH</t>
        </is>
      </c>
      <c r="K369" s="33" t="n">
        <v>5400</v>
      </c>
      <c r="L369" s="34" t="n">
        <v>2</v>
      </c>
      <c r="M369" s="5" t="inlineStr">
        <is>
          <t>2026-10-14</t>
        </is>
      </c>
    </row>
    <row r="370">
      <c r="A370" s="5" t="inlineStr">
        <is>
          <t>spending_by_payee_state</t>
        </is>
      </c>
      <c r="B370" s="5" t="n">
        <v>2026</v>
      </c>
      <c r="C370" s="5" t="inlineStr">
        <is>
          <t>Ryan Mackenzie</t>
        </is>
      </c>
      <c r="D370" s="5" t="inlineStr">
        <is>
          <t>REP</t>
        </is>
      </c>
      <c r="E370" s="5" t="n"/>
      <c r="F370" s="5" t="n"/>
      <c r="G370" s="5" t="n"/>
      <c r="H370" s="5" t="n"/>
      <c r="I370" s="5" t="n"/>
      <c r="J370" s="5" t="inlineStr">
        <is>
          <t>WA</t>
        </is>
      </c>
      <c r="K370" s="33" t="n">
        <v>5101.03</v>
      </c>
      <c r="L370" s="34" t="n">
        <v>20</v>
      </c>
      <c r="M370" s="5" t="inlineStr">
        <is>
          <t>2026-10-14</t>
        </is>
      </c>
    </row>
    <row r="371">
      <c r="A371" s="5" t="inlineStr">
        <is>
          <t>spending_by_payee_state</t>
        </is>
      </c>
      <c r="B371" s="5" t="n">
        <v>2026</v>
      </c>
      <c r="C371" s="5" t="inlineStr">
        <is>
          <t>Ryan Mackenzie</t>
        </is>
      </c>
      <c r="D371" s="5" t="inlineStr">
        <is>
          <t>REP</t>
        </is>
      </c>
      <c r="E371" s="5" t="n"/>
      <c r="F371" s="5" t="n"/>
      <c r="G371" s="5" t="n"/>
      <c r="H371" s="5" t="n"/>
      <c r="I371" s="5" t="n"/>
      <c r="J371" s="5" t="inlineStr">
        <is>
          <t>UT</t>
        </is>
      </c>
      <c r="K371" s="33" t="n">
        <v>4774.52</v>
      </c>
      <c r="L371" s="34" t="n">
        <v>2</v>
      </c>
      <c r="M371" s="5" t="inlineStr">
        <is>
          <t>2026-10-14</t>
        </is>
      </c>
    </row>
    <row r="372">
      <c r="A372" s="5" t="inlineStr">
        <is>
          <t>spending_by_payee_state</t>
        </is>
      </c>
      <c r="B372" s="5" t="n">
        <v>2026</v>
      </c>
      <c r="C372" s="5" t="inlineStr">
        <is>
          <t>Ryan Mackenzie</t>
        </is>
      </c>
      <c r="D372" s="5" t="inlineStr">
        <is>
          <t>REP</t>
        </is>
      </c>
      <c r="E372" s="5" t="n"/>
      <c r="F372" s="5" t="n"/>
      <c r="G372" s="5" t="n"/>
      <c r="H372" s="5" t="n"/>
      <c r="I372" s="5" t="n"/>
      <c r="J372" s="5" t="inlineStr">
        <is>
          <t>AR</t>
        </is>
      </c>
      <c r="K372" s="33" t="n">
        <v>2812.22</v>
      </c>
      <c r="L372" s="34" t="n">
        <v>25</v>
      </c>
      <c r="M372" s="5" t="inlineStr">
        <is>
          <t>2026-10-14</t>
        </is>
      </c>
    </row>
    <row r="373">
      <c r="A373" s="5" t="inlineStr">
        <is>
          <t>spending_by_payee_state</t>
        </is>
      </c>
      <c r="B373" s="5" t="n">
        <v>2026</v>
      </c>
      <c r="C373" s="5" t="inlineStr">
        <is>
          <t>Ryan Mackenzie</t>
        </is>
      </c>
      <c r="D373" s="5" t="inlineStr">
        <is>
          <t>REP</t>
        </is>
      </c>
      <c r="E373" s="5" t="n"/>
      <c r="F373" s="5" t="n"/>
      <c r="G373" s="5" t="n"/>
      <c r="H373" s="5" t="n"/>
      <c r="I373" s="5" t="n"/>
      <c r="J373" s="5" t="inlineStr">
        <is>
          <t>MT</t>
        </is>
      </c>
      <c r="K373" s="33" t="n">
        <v>2025</v>
      </c>
      <c r="L373" s="34" t="n">
        <v>1</v>
      </c>
      <c r="M373" s="5" t="inlineStr">
        <is>
          <t>2026-10-14</t>
        </is>
      </c>
    </row>
    <row r="374">
      <c r="A374" s="5" t="inlineStr">
        <is>
          <t>spending_by_payee_state</t>
        </is>
      </c>
      <c r="B374" s="5" t="n">
        <v>2026</v>
      </c>
      <c r="C374" s="5" t="inlineStr">
        <is>
          <t>Ryan Mackenzie</t>
        </is>
      </c>
      <c r="D374" s="5" t="inlineStr">
        <is>
          <t>REP</t>
        </is>
      </c>
      <c r="E374" s="5" t="n"/>
      <c r="F374" s="5" t="n"/>
      <c r="G374" s="5" t="n"/>
      <c r="H374" s="5" t="n"/>
      <c r="I374" s="5" t="n"/>
      <c r="J374" s="5" t="inlineStr">
        <is>
          <t>MD</t>
        </is>
      </c>
      <c r="K374" s="33" t="n">
        <v>1705.4</v>
      </c>
      <c r="L374" s="34" t="n">
        <v>10</v>
      </c>
      <c r="M374" s="5" t="inlineStr">
        <is>
          <t>2026-10-14</t>
        </is>
      </c>
    </row>
    <row r="375">
      <c r="A375" s="5" t="inlineStr">
        <is>
          <t>spending_by_payee_state</t>
        </is>
      </c>
      <c r="B375" s="5" t="n">
        <v>2026</v>
      </c>
      <c r="C375" s="5" t="inlineStr">
        <is>
          <t>Ryan Mackenzie</t>
        </is>
      </c>
      <c r="D375" s="5" t="inlineStr">
        <is>
          <t>REP</t>
        </is>
      </c>
      <c r="E375" s="5" t="n"/>
      <c r="F375" s="5" t="n"/>
      <c r="G375" s="5" t="n"/>
      <c r="H375" s="5" t="n"/>
      <c r="I375" s="5" t="n"/>
      <c r="J375" s="5" t="inlineStr">
        <is>
          <t>AZ</t>
        </is>
      </c>
      <c r="K375" s="33" t="n">
        <v>1202.74</v>
      </c>
      <c r="L375" s="34" t="n">
        <v>28</v>
      </c>
      <c r="M375" s="5" t="inlineStr">
        <is>
          <t>2026-10-14</t>
        </is>
      </c>
    </row>
    <row r="376">
      <c r="A376" s="5" t="inlineStr">
        <is>
          <t>spending_by_payee_state</t>
        </is>
      </c>
      <c r="B376" s="5" t="n">
        <v>2026</v>
      </c>
      <c r="C376" s="5" t="inlineStr">
        <is>
          <t>Ryan Mackenzie</t>
        </is>
      </c>
      <c r="D376" s="5" t="inlineStr">
        <is>
          <t>REP</t>
        </is>
      </c>
      <c r="E376" s="5" t="n"/>
      <c r="F376" s="5" t="n"/>
      <c r="G376" s="5" t="n"/>
      <c r="H376" s="5" t="n"/>
      <c r="I376" s="5" t="n"/>
      <c r="J376" s="5" t="inlineStr">
        <is>
          <t>AL</t>
        </is>
      </c>
      <c r="K376" s="33" t="n">
        <v>950.12</v>
      </c>
      <c r="L376" s="34" t="n">
        <v>14</v>
      </c>
      <c r="M376" s="5" t="inlineStr">
        <is>
          <t>2026-10-14</t>
        </is>
      </c>
    </row>
    <row r="377">
      <c r="A377" s="5" t="inlineStr">
        <is>
          <t>spending_by_payee_state</t>
        </is>
      </c>
      <c r="B377" s="5" t="n">
        <v>2026</v>
      </c>
      <c r="C377" s="5" t="inlineStr">
        <is>
          <t>Ryan Mackenzie</t>
        </is>
      </c>
      <c r="D377" s="5" t="inlineStr">
        <is>
          <t>REP</t>
        </is>
      </c>
      <c r="E377" s="5" t="n"/>
      <c r="F377" s="5" t="n"/>
      <c r="G377" s="5" t="n"/>
      <c r="H377" s="5" t="n"/>
      <c r="I377" s="5" t="n"/>
      <c r="J377" s="5" t="inlineStr">
        <is>
          <t>NJ</t>
        </is>
      </c>
      <c r="K377" s="33" t="n">
        <v>590</v>
      </c>
      <c r="L377" s="34" t="n">
        <v>1</v>
      </c>
      <c r="M377" s="5" t="inlineStr">
        <is>
          <t>2026-10-14</t>
        </is>
      </c>
    </row>
    <row r="378">
      <c r="A378" s="5" t="inlineStr">
        <is>
          <t>spending_by_payee_state</t>
        </is>
      </c>
      <c r="B378" s="5" t="n">
        <v>2026</v>
      </c>
      <c r="C378" s="5" t="inlineStr">
        <is>
          <t>Ryan Mackenzie</t>
        </is>
      </c>
      <c r="D378" s="5" t="inlineStr">
        <is>
          <t>REP</t>
        </is>
      </c>
      <c r="E378" s="5" t="n"/>
      <c r="F378" s="5" t="n"/>
      <c r="G378" s="5" t="n"/>
      <c r="H378" s="5" t="n"/>
      <c r="I378" s="5" t="n"/>
      <c r="J378" s="5" t="inlineStr">
        <is>
          <t>MN</t>
        </is>
      </c>
      <c r="K378" s="33" t="n">
        <v>529.99</v>
      </c>
      <c r="L378" s="34" t="n">
        <v>1</v>
      </c>
      <c r="M378" s="5" t="inlineStr">
        <is>
          <t>2026-10-14</t>
        </is>
      </c>
    </row>
    <row r="379">
      <c r="A379" s="5" t="inlineStr">
        <is>
          <t>spending_by_payee_state</t>
        </is>
      </c>
      <c r="B379" s="5" t="n">
        <v>2026</v>
      </c>
      <c r="C379" s="5" t="inlineStr">
        <is>
          <t>Ryan Mackenzie</t>
        </is>
      </c>
      <c r="D379" s="5" t="inlineStr">
        <is>
          <t>REP</t>
        </is>
      </c>
      <c r="E379" s="5" t="n"/>
      <c r="F379" s="5" t="n"/>
      <c r="G379" s="5" t="n"/>
      <c r="H379" s="5" t="n"/>
      <c r="I379" s="5" t="n"/>
      <c r="J379" s="5" t="inlineStr">
        <is>
          <t>IA</t>
        </is>
      </c>
      <c r="K379" s="33" t="n">
        <v>335</v>
      </c>
      <c r="L379" s="34" t="n">
        <v>1</v>
      </c>
      <c r="M379" s="5" t="inlineStr">
        <is>
          <t>2026-10-14</t>
        </is>
      </c>
    </row>
    <row r="380">
      <c r="A380" s="5" t="inlineStr">
        <is>
          <t>spending_by_payee_state</t>
        </is>
      </c>
      <c r="B380" s="5" t="n">
        <v>2026</v>
      </c>
      <c r="C380" s="5" t="inlineStr">
        <is>
          <t>Ryan Mackenzie</t>
        </is>
      </c>
      <c r="D380" s="5" t="inlineStr">
        <is>
          <t>REP</t>
        </is>
      </c>
      <c r="E380" s="5" t="n"/>
      <c r="F380" s="5" t="n"/>
      <c r="G380" s="5" t="n"/>
      <c r="H380" s="5" t="n"/>
      <c r="I380" s="5" t="n"/>
      <c r="J380" s="5" t="inlineStr">
        <is>
          <t>CO</t>
        </is>
      </c>
      <c r="K380" s="33" t="n">
        <v>219.98</v>
      </c>
      <c r="L380" s="34" t="n">
        <v>1</v>
      </c>
      <c r="M380" s="5" t="inlineStr">
        <is>
          <t>2026-10-14</t>
        </is>
      </c>
    </row>
    <row r="381">
      <c r="A381" s="5" t="inlineStr">
        <is>
          <t>spending_by_payee_state</t>
        </is>
      </c>
      <c r="B381" s="5" t="n">
        <v>2026</v>
      </c>
      <c r="C381" s="5" t="inlineStr">
        <is>
          <t>Ryan Mackenzie</t>
        </is>
      </c>
      <c r="D381" s="5" t="inlineStr">
        <is>
          <t>REP</t>
        </is>
      </c>
      <c r="E381" s="5" t="n"/>
      <c r="F381" s="5" t="n"/>
      <c r="G381" s="5" t="n"/>
      <c r="H381" s="5" t="n"/>
      <c r="I381" s="5" t="n"/>
      <c r="J381" s="5" t="inlineStr">
        <is>
          <t>LA</t>
        </is>
      </c>
      <c r="K381" s="33" t="n">
        <v>136.61</v>
      </c>
      <c r="L381" s="34" t="n">
        <v>10</v>
      </c>
      <c r="M381" s="5" t="inlineStr">
        <is>
          <t>2026-10-14</t>
        </is>
      </c>
    </row>
    <row r="382">
      <c r="A382" s="5" t="inlineStr">
        <is>
          <t>spending_by_payee_state</t>
        </is>
      </c>
      <c r="B382" s="5" t="n">
        <v>2026</v>
      </c>
      <c r="C382" s="5" t="inlineStr">
        <is>
          <t>Ryan Mackenzie</t>
        </is>
      </c>
      <c r="D382" s="5" t="inlineStr">
        <is>
          <t>REP</t>
        </is>
      </c>
      <c r="E382" s="5" t="n"/>
      <c r="F382" s="5" t="n"/>
      <c r="G382" s="5" t="n"/>
      <c r="H382" s="5" t="n"/>
      <c r="I382" s="5" t="n"/>
      <c r="J382" s="5" t="inlineStr">
        <is>
          <t>MI</t>
        </is>
      </c>
      <c r="K382" s="33" t="n">
        <v>125.25</v>
      </c>
      <c r="L382" s="34" t="n">
        <v>8</v>
      </c>
      <c r="M382" s="5" t="inlineStr">
        <is>
          <t>2026-10-14</t>
        </is>
      </c>
    </row>
    <row r="383">
      <c r="A383" s="5" t="inlineStr">
        <is>
          <t>spending_by_payee_state</t>
        </is>
      </c>
      <c r="B383" s="5" t="n">
        <v>2026</v>
      </c>
      <c r="C383" s="5" t="inlineStr">
        <is>
          <t>Ryan Mackenzie</t>
        </is>
      </c>
      <c r="D383" s="5" t="inlineStr">
        <is>
          <t>REP</t>
        </is>
      </c>
      <c r="E383" s="5" t="n"/>
      <c r="F383" s="5" t="n"/>
      <c r="G383" s="5" t="n"/>
      <c r="H383" s="5" t="n"/>
      <c r="I383" s="5" t="n"/>
      <c r="J383" s="5" t="inlineStr">
        <is>
          <t>OK</t>
        </is>
      </c>
      <c r="K383" s="33" t="n">
        <v>120.53</v>
      </c>
      <c r="L383" s="34" t="n">
        <v>1</v>
      </c>
      <c r="M383" s="5" t="inlineStr">
        <is>
          <t>2026-10-14</t>
        </is>
      </c>
    </row>
    <row r="384">
      <c r="A384" s="5" t="inlineStr">
        <is>
          <t>spending_by_payee_state</t>
        </is>
      </c>
      <c r="B384" s="5" t="n">
        <v>2026</v>
      </c>
      <c r="C384" s="5" t="inlineStr">
        <is>
          <t>Ryan Mackenzie</t>
        </is>
      </c>
      <c r="D384" s="5" t="inlineStr">
        <is>
          <t>REP</t>
        </is>
      </c>
      <c r="E384" s="5" t="n"/>
      <c r="F384" s="5" t="n"/>
      <c r="G384" s="5" t="n"/>
      <c r="H384" s="5" t="n"/>
      <c r="I384" s="5" t="n"/>
      <c r="J384" s="5" t="inlineStr">
        <is>
          <t>KS</t>
        </is>
      </c>
      <c r="K384" s="33" t="n">
        <v>2.1</v>
      </c>
      <c r="L384" s="34" t="n">
        <v>4</v>
      </c>
      <c r="M384" s="5" t="inlineStr">
        <is>
          <t>2026-10-14</t>
        </is>
      </c>
    </row>
    <row r="385">
      <c r="A385" s="5" t="inlineStr">
        <is>
          <t>contributions_by_state</t>
        </is>
      </c>
      <c r="B385" s="5" t="n">
        <v>2026</v>
      </c>
      <c r="C385" s="5" t="inlineStr">
        <is>
          <t>Ryan Mackenzie</t>
        </is>
      </c>
      <c r="D385" s="5" t="inlineStr">
        <is>
          <t>REP</t>
        </is>
      </c>
      <c r="E385" s="5" t="n"/>
      <c r="F385" s="5" t="n"/>
      <c r="G385" s="5" t="n"/>
      <c r="H385" s="5" t="n"/>
      <c r="I385" s="5" t="n"/>
      <c r="J385" s="5" t="inlineStr">
        <is>
          <t>PA</t>
        </is>
      </c>
      <c r="K385" s="33" t="n">
        <v>705177.53</v>
      </c>
      <c r="L385" s="34" t="n">
        <v>1185</v>
      </c>
      <c r="M385" s="5" t="inlineStr">
        <is>
          <t>2026-10-14</t>
        </is>
      </c>
    </row>
    <row r="386">
      <c r="A386" s="5" t="inlineStr">
        <is>
          <t>contributions_by_state</t>
        </is>
      </c>
      <c r="B386" s="5" t="n">
        <v>2026</v>
      </c>
      <c r="C386" s="5" t="inlineStr">
        <is>
          <t>Ryan Mackenzie</t>
        </is>
      </c>
      <c r="D386" s="5" t="inlineStr">
        <is>
          <t>REP</t>
        </is>
      </c>
      <c r="E386" s="5" t="n"/>
      <c r="F386" s="5" t="n"/>
      <c r="G386" s="5" t="n"/>
      <c r="H386" s="5" t="n"/>
      <c r="I386" s="5" t="n"/>
      <c r="J386" s="5" t="inlineStr">
        <is>
          <t>FL</t>
        </is>
      </c>
      <c r="K386" s="33" t="n">
        <v>498858.16</v>
      </c>
      <c r="L386" s="34" t="n">
        <v>1923</v>
      </c>
      <c r="M386" s="5" t="inlineStr">
        <is>
          <t>2026-10-14</t>
        </is>
      </c>
    </row>
    <row r="387">
      <c r="A387" s="5" t="inlineStr">
        <is>
          <t>contributions_by_state</t>
        </is>
      </c>
      <c r="B387" s="5" t="n">
        <v>2026</v>
      </c>
      <c r="C387" s="5" t="inlineStr">
        <is>
          <t>Ryan Mackenzie</t>
        </is>
      </c>
      <c r="D387" s="5" t="inlineStr">
        <is>
          <t>REP</t>
        </is>
      </c>
      <c r="E387" s="5" t="n"/>
      <c r="F387" s="5" t="n"/>
      <c r="G387" s="5" t="n"/>
      <c r="H387" s="5" t="n"/>
      <c r="I387" s="5" t="n"/>
      <c r="J387" s="5" t="inlineStr">
        <is>
          <t>TX</t>
        </is>
      </c>
      <c r="K387" s="33" t="n">
        <v>392044.34</v>
      </c>
      <c r="L387" s="34" t="n">
        <v>2187</v>
      </c>
      <c r="M387" s="5" t="inlineStr">
        <is>
          <t>2026-10-14</t>
        </is>
      </c>
    </row>
    <row r="388">
      <c r="A388" s="5" t="inlineStr">
        <is>
          <t>contributions_by_state</t>
        </is>
      </c>
      <c r="B388" s="5" t="n">
        <v>2026</v>
      </c>
      <c r="C388" s="5" t="inlineStr">
        <is>
          <t>Ryan Mackenzie</t>
        </is>
      </c>
      <c r="D388" s="5" t="inlineStr">
        <is>
          <t>REP</t>
        </is>
      </c>
      <c r="E388" s="5" t="n"/>
      <c r="F388" s="5" t="n"/>
      <c r="G388" s="5" t="n"/>
      <c r="H388" s="5" t="n"/>
      <c r="I388" s="5" t="n"/>
      <c r="J388" s="5" t="inlineStr">
        <is>
          <t>NY</t>
        </is>
      </c>
      <c r="K388" s="33" t="n">
        <v>219095.46</v>
      </c>
      <c r="L388" s="34" t="n">
        <v>420</v>
      </c>
      <c r="M388" s="5" t="inlineStr">
        <is>
          <t>2026-10-14</t>
        </is>
      </c>
    </row>
    <row r="389">
      <c r="A389" s="5" t="inlineStr">
        <is>
          <t>contributions_by_state</t>
        </is>
      </c>
      <c r="B389" s="5" t="n">
        <v>2026</v>
      </c>
      <c r="C389" s="5" t="inlineStr">
        <is>
          <t>Ryan Mackenzie</t>
        </is>
      </c>
      <c r="D389" s="5" t="inlineStr">
        <is>
          <t>REP</t>
        </is>
      </c>
      <c r="E389" s="5" t="n"/>
      <c r="F389" s="5" t="n"/>
      <c r="G389" s="5" t="n"/>
      <c r="H389" s="5" t="n"/>
      <c r="I389" s="5" t="n"/>
      <c r="J389" s="5" t="inlineStr">
        <is>
          <t>CA</t>
        </is>
      </c>
      <c r="K389" s="33" t="n">
        <v>189336.51</v>
      </c>
      <c r="L389" s="34" t="n">
        <v>1371</v>
      </c>
      <c r="M389" s="5" t="inlineStr">
        <is>
          <t>2026-10-14</t>
        </is>
      </c>
    </row>
    <row r="390">
      <c r="A390" s="5" t="inlineStr">
        <is>
          <t>contributions_by_state</t>
        </is>
      </c>
      <c r="B390" s="5" t="n">
        <v>2026</v>
      </c>
      <c r="C390" s="5" t="inlineStr">
        <is>
          <t>Ryan Mackenzie</t>
        </is>
      </c>
      <c r="D390" s="5" t="inlineStr">
        <is>
          <t>REP</t>
        </is>
      </c>
      <c r="E390" s="5" t="n"/>
      <c r="F390" s="5" t="n"/>
      <c r="G390" s="5" t="n"/>
      <c r="H390" s="5" t="n"/>
      <c r="I390" s="5" t="n"/>
      <c r="J390" s="5" t="inlineStr">
        <is>
          <t>LA</t>
        </is>
      </c>
      <c r="K390" s="33" t="n">
        <v>96564.66</v>
      </c>
      <c r="L390" s="34" t="n">
        <v>230</v>
      </c>
      <c r="M390" s="5" t="inlineStr">
        <is>
          <t>2026-10-14</t>
        </is>
      </c>
    </row>
    <row r="391">
      <c r="A391" s="5" t="inlineStr">
        <is>
          <t>contributions_by_state</t>
        </is>
      </c>
      <c r="B391" s="5" t="n">
        <v>2026</v>
      </c>
      <c r="C391" s="5" t="inlineStr">
        <is>
          <t>Ryan Mackenzie</t>
        </is>
      </c>
      <c r="D391" s="5" t="inlineStr">
        <is>
          <t>REP</t>
        </is>
      </c>
      <c r="E391" s="5" t="n"/>
      <c r="F391" s="5" t="n"/>
      <c r="G391" s="5" t="n"/>
      <c r="H391" s="5" t="n"/>
      <c r="I391" s="5" t="n"/>
      <c r="J391" s="5" t="inlineStr">
        <is>
          <t>IL</t>
        </is>
      </c>
      <c r="K391" s="33" t="n">
        <v>82720.37</v>
      </c>
      <c r="L391" s="34" t="n">
        <v>404</v>
      </c>
      <c r="M391" s="5" t="inlineStr">
        <is>
          <t>2026-10-14</t>
        </is>
      </c>
    </row>
    <row r="392">
      <c r="A392" s="5" t="inlineStr">
        <is>
          <t>contributions_by_state</t>
        </is>
      </c>
      <c r="B392" s="5" t="n">
        <v>2026</v>
      </c>
      <c r="C392" s="5" t="inlineStr">
        <is>
          <t>Ryan Mackenzie</t>
        </is>
      </c>
      <c r="D392" s="5" t="inlineStr">
        <is>
          <t>REP</t>
        </is>
      </c>
      <c r="E392" s="5" t="n"/>
      <c r="F392" s="5" t="n"/>
      <c r="G392" s="5" t="n"/>
      <c r="H392" s="5" t="n"/>
      <c r="I392" s="5" t="n"/>
      <c r="J392" s="5" t="inlineStr">
        <is>
          <t>VA</t>
        </is>
      </c>
      <c r="K392" s="33" t="n">
        <v>80077.28</v>
      </c>
      <c r="L392" s="34" t="n">
        <v>432</v>
      </c>
      <c r="M392" s="5" t="inlineStr">
        <is>
          <t>2026-10-14</t>
        </is>
      </c>
    </row>
    <row r="393">
      <c r="A393" s="5" t="inlineStr">
        <is>
          <t>contributions_by_state</t>
        </is>
      </c>
      <c r="B393" s="5" t="n">
        <v>2026</v>
      </c>
      <c r="C393" s="5" t="inlineStr">
        <is>
          <t>Ryan Mackenzie</t>
        </is>
      </c>
      <c r="D393" s="5" t="inlineStr">
        <is>
          <t>REP</t>
        </is>
      </c>
      <c r="E393" s="5" t="n"/>
      <c r="F393" s="5" t="n"/>
      <c r="G393" s="5" t="n"/>
      <c r="H393" s="5" t="n"/>
      <c r="I393" s="5" t="n"/>
      <c r="J393" s="5" t="inlineStr">
        <is>
          <t>TN</t>
        </is>
      </c>
      <c r="K393" s="33" t="n">
        <v>54019.6</v>
      </c>
      <c r="L393" s="34" t="n">
        <v>252</v>
      </c>
      <c r="M393" s="5" t="inlineStr">
        <is>
          <t>2026-10-14</t>
        </is>
      </c>
    </row>
    <row r="394">
      <c r="A394" s="5" t="inlineStr">
        <is>
          <t>contributions_by_state</t>
        </is>
      </c>
      <c r="B394" s="5" t="n">
        <v>2026</v>
      </c>
      <c r="C394" s="5" t="inlineStr">
        <is>
          <t>Ryan Mackenzie</t>
        </is>
      </c>
      <c r="D394" s="5" t="inlineStr">
        <is>
          <t>REP</t>
        </is>
      </c>
      <c r="E394" s="5" t="n"/>
      <c r="F394" s="5" t="n"/>
      <c r="G394" s="5" t="n"/>
      <c r="H394" s="5" t="n"/>
      <c r="I394" s="5" t="n"/>
      <c r="J394" s="5" t="inlineStr">
        <is>
          <t>MA</t>
        </is>
      </c>
      <c r="K394" s="33" t="n">
        <v>53894.65</v>
      </c>
      <c r="L394" s="34" t="n">
        <v>65</v>
      </c>
      <c r="M394" s="5" t="inlineStr">
        <is>
          <t>2026-10-14</t>
        </is>
      </c>
    </row>
    <row r="395">
      <c r="A395" s="5" t="inlineStr">
        <is>
          <t>contributions_by_state</t>
        </is>
      </c>
      <c r="B395" s="5" t="n">
        <v>2026</v>
      </c>
      <c r="C395" s="5" t="inlineStr">
        <is>
          <t>Ryan Mackenzie</t>
        </is>
      </c>
      <c r="D395" s="5" t="inlineStr">
        <is>
          <t>REP</t>
        </is>
      </c>
      <c r="E395" s="5" t="n"/>
      <c r="F395" s="5" t="n"/>
      <c r="G395" s="5" t="n"/>
      <c r="H395" s="5" t="n"/>
      <c r="I395" s="5" t="n"/>
      <c r="J395" s="5" t="inlineStr">
        <is>
          <t>MN</t>
        </is>
      </c>
      <c r="K395" s="33" t="n">
        <v>52964.24</v>
      </c>
      <c r="L395" s="34" t="n">
        <v>159</v>
      </c>
      <c r="M395" s="5" t="inlineStr">
        <is>
          <t>2026-10-14</t>
        </is>
      </c>
    </row>
    <row r="396">
      <c r="A396" s="5" t="inlineStr">
        <is>
          <t>contributions_by_state</t>
        </is>
      </c>
      <c r="B396" s="5" t="n">
        <v>2026</v>
      </c>
      <c r="C396" s="5" t="inlineStr">
        <is>
          <t>Ryan Mackenzie</t>
        </is>
      </c>
      <c r="D396" s="5" t="inlineStr">
        <is>
          <t>REP</t>
        </is>
      </c>
      <c r="E396" s="5" t="n"/>
      <c r="F396" s="5" t="n"/>
      <c r="G396" s="5" t="n"/>
      <c r="H396" s="5" t="n"/>
      <c r="I396" s="5" t="n"/>
      <c r="J396" s="5" t="inlineStr">
        <is>
          <t>CO</t>
        </is>
      </c>
      <c r="K396" s="33" t="n">
        <v>51439.42</v>
      </c>
      <c r="L396" s="34" t="n">
        <v>200</v>
      </c>
      <c r="M396" s="5" t="inlineStr">
        <is>
          <t>2026-10-14</t>
        </is>
      </c>
    </row>
    <row r="397">
      <c r="A397" s="5" t="inlineStr">
        <is>
          <t>contributions_by_state</t>
        </is>
      </c>
      <c r="B397" s="5" t="n">
        <v>2026</v>
      </c>
      <c r="C397" s="5" t="inlineStr">
        <is>
          <t>Ryan Mackenzie</t>
        </is>
      </c>
      <c r="D397" s="5" t="inlineStr">
        <is>
          <t>REP</t>
        </is>
      </c>
      <c r="E397" s="5" t="n"/>
      <c r="F397" s="5" t="n"/>
      <c r="G397" s="5" t="n"/>
      <c r="H397" s="5" t="n"/>
      <c r="I397" s="5" t="n"/>
      <c r="J397" s="5" t="inlineStr">
        <is>
          <t>OH</t>
        </is>
      </c>
      <c r="K397" s="33" t="n">
        <v>41255.66</v>
      </c>
      <c r="L397" s="34" t="n">
        <v>288</v>
      </c>
      <c r="M397" s="5" t="inlineStr">
        <is>
          <t>2026-10-14</t>
        </is>
      </c>
    </row>
    <row r="398">
      <c r="A398" s="5" t="inlineStr">
        <is>
          <t>contributions_by_state</t>
        </is>
      </c>
      <c r="B398" s="5" t="n">
        <v>2026</v>
      </c>
      <c r="C398" s="5" t="inlineStr">
        <is>
          <t>Ryan Mackenzie</t>
        </is>
      </c>
      <c r="D398" s="5" t="inlineStr">
        <is>
          <t>REP</t>
        </is>
      </c>
      <c r="E398" s="5" t="n"/>
      <c r="F398" s="5" t="n"/>
      <c r="G398" s="5" t="n"/>
      <c r="H398" s="5" t="n"/>
      <c r="I398" s="5" t="n"/>
      <c r="J398" s="5" t="inlineStr">
        <is>
          <t>MI</t>
        </is>
      </c>
      <c r="K398" s="33" t="n">
        <v>38953.07</v>
      </c>
      <c r="L398" s="34" t="n">
        <v>273</v>
      </c>
      <c r="M398" s="5" t="inlineStr">
        <is>
          <t>2026-10-14</t>
        </is>
      </c>
    </row>
    <row r="399">
      <c r="A399" s="5" t="inlineStr">
        <is>
          <t>contributions_by_state</t>
        </is>
      </c>
      <c r="B399" s="5" t="n">
        <v>2026</v>
      </c>
      <c r="C399" s="5" t="inlineStr">
        <is>
          <t>Ryan Mackenzie</t>
        </is>
      </c>
      <c r="D399" s="5" t="inlineStr">
        <is>
          <t>REP</t>
        </is>
      </c>
      <c r="E399" s="5" t="n"/>
      <c r="F399" s="5" t="n"/>
      <c r="G399" s="5" t="n"/>
      <c r="H399" s="5" t="n"/>
      <c r="I399" s="5" t="n"/>
      <c r="J399" s="5" t="inlineStr">
        <is>
          <t>CT</t>
        </is>
      </c>
      <c r="K399" s="33" t="n">
        <v>38941.97</v>
      </c>
      <c r="L399" s="34" t="n">
        <v>98</v>
      </c>
      <c r="M399" s="5" t="inlineStr">
        <is>
          <t>2026-10-14</t>
        </is>
      </c>
    </row>
    <row r="400">
      <c r="A400" s="5" t="inlineStr">
        <is>
          <t>contributions_by_state</t>
        </is>
      </c>
      <c r="B400" s="5" t="n">
        <v>2026</v>
      </c>
      <c r="C400" s="5" t="inlineStr">
        <is>
          <t>Ryan Mackenzie</t>
        </is>
      </c>
      <c r="D400" s="5" t="inlineStr">
        <is>
          <t>REP</t>
        </is>
      </c>
      <c r="E400" s="5" t="n"/>
      <c r="F400" s="5" t="n"/>
      <c r="G400" s="5" t="n"/>
      <c r="H400" s="5" t="n"/>
      <c r="I400" s="5" t="n"/>
      <c r="J400" s="5" t="inlineStr">
        <is>
          <t>NV</t>
        </is>
      </c>
      <c r="K400" s="33" t="n">
        <v>32861.41</v>
      </c>
      <c r="L400" s="34" t="n">
        <v>110</v>
      </c>
      <c r="M400" s="5" t="inlineStr">
        <is>
          <t>2026-10-14</t>
        </is>
      </c>
    </row>
    <row r="401">
      <c r="A401" s="5" t="inlineStr">
        <is>
          <t>contributions_by_state</t>
        </is>
      </c>
      <c r="B401" s="5" t="n">
        <v>2026</v>
      </c>
      <c r="C401" s="5" t="inlineStr">
        <is>
          <t>Ryan Mackenzie</t>
        </is>
      </c>
      <c r="D401" s="5" t="inlineStr">
        <is>
          <t>REP</t>
        </is>
      </c>
      <c r="E401" s="5" t="n"/>
      <c r="F401" s="5" t="n"/>
      <c r="G401" s="5" t="n"/>
      <c r="H401" s="5" t="n"/>
      <c r="I401" s="5" t="n"/>
      <c r="J401" s="5" t="inlineStr">
        <is>
          <t>DC</t>
        </is>
      </c>
      <c r="K401" s="33" t="n">
        <v>27297.22</v>
      </c>
      <c r="L401" s="34" t="n">
        <v>22</v>
      </c>
      <c r="M401" s="5" t="inlineStr">
        <is>
          <t>2026-10-14</t>
        </is>
      </c>
    </row>
    <row r="402">
      <c r="A402" s="5" t="inlineStr">
        <is>
          <t>contributions_by_state</t>
        </is>
      </c>
      <c r="B402" s="5" t="n">
        <v>2026</v>
      </c>
      <c r="C402" s="5" t="inlineStr">
        <is>
          <t>Ryan Mackenzie</t>
        </is>
      </c>
      <c r="D402" s="5" t="inlineStr">
        <is>
          <t>REP</t>
        </is>
      </c>
      <c r="E402" s="5" t="n"/>
      <c r="F402" s="5" t="n"/>
      <c r="G402" s="5" t="n"/>
      <c r="H402" s="5" t="n"/>
      <c r="I402" s="5" t="n"/>
      <c r="J402" s="5" t="inlineStr">
        <is>
          <t>MO</t>
        </is>
      </c>
      <c r="K402" s="33" t="n">
        <v>27274.88</v>
      </c>
      <c r="L402" s="34" t="n">
        <v>75</v>
      </c>
      <c r="M402" s="5" t="inlineStr">
        <is>
          <t>2026-10-14</t>
        </is>
      </c>
    </row>
    <row r="403">
      <c r="A403" s="5" t="inlineStr">
        <is>
          <t>contributions_by_state</t>
        </is>
      </c>
      <c r="B403" s="5" t="n">
        <v>2026</v>
      </c>
      <c r="C403" s="5" t="inlineStr">
        <is>
          <t>Ryan Mackenzie</t>
        </is>
      </c>
      <c r="D403" s="5" t="inlineStr">
        <is>
          <t>REP</t>
        </is>
      </c>
      <c r="E403" s="5" t="n"/>
      <c r="F403" s="5" t="n"/>
      <c r="G403" s="5" t="n"/>
      <c r="H403" s="5" t="n"/>
      <c r="I403" s="5" t="n"/>
      <c r="J403" s="5" t="inlineStr">
        <is>
          <t>AR</t>
        </is>
      </c>
      <c r="K403" s="33" t="n">
        <v>27266.84</v>
      </c>
      <c r="L403" s="34" t="n">
        <v>84</v>
      </c>
      <c r="M403" s="5" t="inlineStr">
        <is>
          <t>2026-10-14</t>
        </is>
      </c>
    </row>
    <row r="404">
      <c r="A404" s="5" t="inlineStr">
        <is>
          <t>contributions_by_state</t>
        </is>
      </c>
      <c r="B404" s="5" t="n">
        <v>2026</v>
      </c>
      <c r="C404" s="5" t="inlineStr">
        <is>
          <t>Ryan Mackenzie</t>
        </is>
      </c>
      <c r="D404" s="5" t="inlineStr">
        <is>
          <t>REP</t>
        </is>
      </c>
      <c r="E404" s="5" t="n"/>
      <c r="F404" s="5" t="n"/>
      <c r="G404" s="5" t="n"/>
      <c r="H404" s="5" t="n"/>
      <c r="I404" s="5" t="n"/>
      <c r="J404" s="5" t="inlineStr">
        <is>
          <t>GA</t>
        </is>
      </c>
      <c r="K404" s="33" t="n">
        <v>24207.04</v>
      </c>
      <c r="L404" s="34" t="n">
        <v>226</v>
      </c>
      <c r="M404" s="5" t="inlineStr">
        <is>
          <t>2026-10-14</t>
        </is>
      </c>
    </row>
    <row r="405">
      <c r="A405" s="5" t="inlineStr">
        <is>
          <t>contributions_by_state</t>
        </is>
      </c>
      <c r="B405" s="5" t="n">
        <v>2026</v>
      </c>
      <c r="C405" s="5" t="inlineStr">
        <is>
          <t>Ryan Mackenzie</t>
        </is>
      </c>
      <c r="D405" s="5" t="inlineStr">
        <is>
          <t>REP</t>
        </is>
      </c>
      <c r="E405" s="5" t="n"/>
      <c r="F405" s="5" t="n"/>
      <c r="G405" s="5" t="n"/>
      <c r="H405" s="5" t="n"/>
      <c r="I405" s="5" t="n"/>
      <c r="J405" s="5" t="inlineStr">
        <is>
          <t>AZ</t>
        </is>
      </c>
      <c r="K405" s="33" t="n">
        <v>23455.14</v>
      </c>
      <c r="L405" s="34" t="n">
        <v>226</v>
      </c>
      <c r="M405" s="5" t="inlineStr">
        <is>
          <t>2026-10-14</t>
        </is>
      </c>
    </row>
    <row r="406">
      <c r="A406" s="5" t="inlineStr">
        <is>
          <t>contributions_by_state</t>
        </is>
      </c>
      <c r="B406" s="5" t="n">
        <v>2026</v>
      </c>
      <c r="C406" s="5" t="inlineStr">
        <is>
          <t>Ryan Mackenzie</t>
        </is>
      </c>
      <c r="D406" s="5" t="inlineStr">
        <is>
          <t>REP</t>
        </is>
      </c>
      <c r="E406" s="5" t="n"/>
      <c r="F406" s="5" t="n"/>
      <c r="G406" s="5" t="n"/>
      <c r="H406" s="5" t="n"/>
      <c r="I406" s="5" t="n"/>
      <c r="J406" s="5" t="inlineStr">
        <is>
          <t>ID</t>
        </is>
      </c>
      <c r="K406" s="33" t="n">
        <v>18666.86</v>
      </c>
      <c r="L406" s="34" t="n">
        <v>67</v>
      </c>
      <c r="M406" s="5" t="inlineStr">
        <is>
          <t>2026-10-14</t>
        </is>
      </c>
    </row>
    <row r="407">
      <c r="A407" s="5" t="inlineStr">
        <is>
          <t>contributions_by_state</t>
        </is>
      </c>
      <c r="B407" s="5" t="n">
        <v>2026</v>
      </c>
      <c r="C407" s="5" t="inlineStr">
        <is>
          <t>Ryan Mackenzie</t>
        </is>
      </c>
      <c r="D407" s="5" t="inlineStr">
        <is>
          <t>REP</t>
        </is>
      </c>
      <c r="E407" s="5" t="n"/>
      <c r="F407" s="5" t="n"/>
      <c r="G407" s="5" t="n"/>
      <c r="H407" s="5" t="n"/>
      <c r="I407" s="5" t="n"/>
      <c r="J407" s="5" t="inlineStr">
        <is>
          <t>MD</t>
        </is>
      </c>
      <c r="K407" s="33" t="n">
        <v>17205.01</v>
      </c>
      <c r="L407" s="34" t="n">
        <v>40</v>
      </c>
      <c r="M407" s="5" t="inlineStr">
        <is>
          <t>2026-10-14</t>
        </is>
      </c>
    </row>
    <row r="408">
      <c r="A408" s="5" t="inlineStr">
        <is>
          <t>contributions_by_state</t>
        </is>
      </c>
      <c r="B408" s="5" t="n">
        <v>2026</v>
      </c>
      <c r="C408" s="5" t="inlineStr">
        <is>
          <t>Ryan Mackenzie</t>
        </is>
      </c>
      <c r="D408" s="5" t="inlineStr">
        <is>
          <t>REP</t>
        </is>
      </c>
      <c r="E408" s="5" t="n"/>
      <c r="F408" s="5" t="n"/>
      <c r="G408" s="5" t="n"/>
      <c r="H408" s="5" t="n"/>
      <c r="I408" s="5" t="n"/>
      <c r="J408" s="5" t="inlineStr">
        <is>
          <t>PR</t>
        </is>
      </c>
      <c r="K408" s="33" t="n">
        <v>17000</v>
      </c>
      <c r="L408" s="34" t="n">
        <v>10</v>
      </c>
      <c r="M408" s="5" t="inlineStr">
        <is>
          <t>2026-10-14</t>
        </is>
      </c>
    </row>
    <row r="409">
      <c r="A409" s="5" t="inlineStr">
        <is>
          <t>contributions_by_state</t>
        </is>
      </c>
      <c r="B409" s="5" t="n">
        <v>2026</v>
      </c>
      <c r="C409" s="5" t="inlineStr">
        <is>
          <t>Ryan Mackenzie</t>
        </is>
      </c>
      <c r="D409" s="5" t="inlineStr">
        <is>
          <t>REP</t>
        </is>
      </c>
      <c r="E409" s="5" t="n"/>
      <c r="F409" s="5" t="n"/>
      <c r="G409" s="5" t="n"/>
      <c r="H409" s="5" t="n"/>
      <c r="I409" s="5" t="n"/>
      <c r="J409" s="5" t="inlineStr">
        <is>
          <t>WI</t>
        </is>
      </c>
      <c r="K409" s="33" t="n">
        <v>12261.39</v>
      </c>
      <c r="L409" s="34" t="n">
        <v>84</v>
      </c>
      <c r="M409" s="5" t="inlineStr">
        <is>
          <t>2026-10-14</t>
        </is>
      </c>
    </row>
    <row r="410">
      <c r="A410" s="5" t="inlineStr">
        <is>
          <t>contributions_by_state</t>
        </is>
      </c>
      <c r="B410" s="5" t="n">
        <v>2026</v>
      </c>
      <c r="C410" s="5" t="inlineStr">
        <is>
          <t>Ryan Mackenzie</t>
        </is>
      </c>
      <c r="D410" s="5" t="inlineStr">
        <is>
          <t>REP</t>
        </is>
      </c>
      <c r="E410" s="5" t="n"/>
      <c r="F410" s="5" t="n"/>
      <c r="G410" s="5" t="n"/>
      <c r="H410" s="5" t="n"/>
      <c r="I410" s="5" t="n"/>
      <c r="J410" s="5" t="inlineStr">
        <is>
          <t>WA</t>
        </is>
      </c>
      <c r="K410" s="33" t="n">
        <v>11460.88</v>
      </c>
      <c r="L410" s="34" t="n">
        <v>180</v>
      </c>
      <c r="M410" s="5" t="inlineStr">
        <is>
          <t>2026-10-14</t>
        </is>
      </c>
    </row>
    <row r="411">
      <c r="A411" s="5" t="inlineStr">
        <is>
          <t>contributions_by_state</t>
        </is>
      </c>
      <c r="B411" s="5" t="n">
        <v>2026</v>
      </c>
      <c r="C411" s="5" t="inlineStr">
        <is>
          <t>Ryan Mackenzie</t>
        </is>
      </c>
      <c r="D411" s="5" t="inlineStr">
        <is>
          <t>REP</t>
        </is>
      </c>
      <c r="E411" s="5" t="n"/>
      <c r="F411" s="5" t="n"/>
      <c r="G411" s="5" t="n"/>
      <c r="H411" s="5" t="n"/>
      <c r="I411" s="5" t="n"/>
      <c r="J411" s="5" t="inlineStr">
        <is>
          <t>NH</t>
        </is>
      </c>
      <c r="K411" s="33" t="n">
        <v>11400</v>
      </c>
      <c r="L411" s="34" t="n">
        <v>6</v>
      </c>
      <c r="M411" s="5" t="inlineStr">
        <is>
          <t>2026-10-14</t>
        </is>
      </c>
    </row>
    <row r="412">
      <c r="A412" s="5" t="inlineStr">
        <is>
          <t>contributions_by_state</t>
        </is>
      </c>
      <c r="B412" s="5" t="n">
        <v>2026</v>
      </c>
      <c r="C412" s="5" t="inlineStr">
        <is>
          <t>Ryan Mackenzie</t>
        </is>
      </c>
      <c r="D412" s="5" t="inlineStr">
        <is>
          <t>REP</t>
        </is>
      </c>
      <c r="E412" s="5" t="n"/>
      <c r="F412" s="5" t="n"/>
      <c r="G412" s="5" t="n"/>
      <c r="H412" s="5" t="n"/>
      <c r="I412" s="5" t="n"/>
      <c r="J412" s="5" t="inlineStr">
        <is>
          <t>WY</t>
        </is>
      </c>
      <c r="K412" s="33" t="n">
        <v>10726.3</v>
      </c>
      <c r="L412" s="34" t="n">
        <v>8</v>
      </c>
      <c r="M412" s="5" t="inlineStr">
        <is>
          <t>2026-10-14</t>
        </is>
      </c>
    </row>
    <row r="413">
      <c r="A413" s="5" t="inlineStr">
        <is>
          <t>contributions_by_state</t>
        </is>
      </c>
      <c r="B413" s="5" t="n">
        <v>2026</v>
      </c>
      <c r="C413" s="5" t="inlineStr">
        <is>
          <t>Ryan Mackenzie</t>
        </is>
      </c>
      <c r="D413" s="5" t="inlineStr">
        <is>
          <t>REP</t>
        </is>
      </c>
      <c r="E413" s="5" t="n"/>
      <c r="F413" s="5" t="n"/>
      <c r="G413" s="5" t="n"/>
      <c r="H413" s="5" t="n"/>
      <c r="I413" s="5" t="n"/>
      <c r="J413" s="5" t="inlineStr">
        <is>
          <t>UT</t>
        </is>
      </c>
      <c r="K413" s="33" t="n">
        <v>10723.63</v>
      </c>
      <c r="L413" s="34" t="n">
        <v>164</v>
      </c>
      <c r="M413" s="5" t="inlineStr">
        <is>
          <t>2026-10-14</t>
        </is>
      </c>
    </row>
    <row r="414">
      <c r="A414" s="5" t="inlineStr">
        <is>
          <t>contributions_by_state</t>
        </is>
      </c>
      <c r="B414" s="5" t="n">
        <v>2026</v>
      </c>
      <c r="C414" s="5" t="inlineStr">
        <is>
          <t>Ryan Mackenzie</t>
        </is>
      </c>
      <c r="D414" s="5" t="inlineStr">
        <is>
          <t>REP</t>
        </is>
      </c>
      <c r="E414" s="5" t="n"/>
      <c r="F414" s="5" t="n"/>
      <c r="G414" s="5" t="n"/>
      <c r="H414" s="5" t="n"/>
      <c r="I414" s="5" t="n"/>
      <c r="J414" s="5" t="inlineStr">
        <is>
          <t>AL</t>
        </is>
      </c>
      <c r="K414" s="33" t="n">
        <v>10488.85</v>
      </c>
      <c r="L414" s="34" t="n">
        <v>127</v>
      </c>
      <c r="M414" s="5" t="inlineStr">
        <is>
          <t>2026-10-14</t>
        </is>
      </c>
    </row>
    <row r="415">
      <c r="A415" s="5" t="inlineStr">
        <is>
          <t>contributions_by_state</t>
        </is>
      </c>
      <c r="B415" s="5" t="n">
        <v>2026</v>
      </c>
      <c r="C415" s="5" t="inlineStr">
        <is>
          <t>Ryan Mackenzie</t>
        </is>
      </c>
      <c r="D415" s="5" t="inlineStr">
        <is>
          <t>REP</t>
        </is>
      </c>
      <c r="E415" s="5" t="n"/>
      <c r="F415" s="5" t="n"/>
      <c r="G415" s="5" t="n"/>
      <c r="H415" s="5" t="n"/>
      <c r="I415" s="5" t="n"/>
      <c r="J415" s="5" t="inlineStr">
        <is>
          <t>NJ</t>
        </is>
      </c>
      <c r="K415" s="33" t="n">
        <v>9871.74</v>
      </c>
      <c r="L415" s="34" t="n">
        <v>223</v>
      </c>
      <c r="M415" s="5" t="inlineStr">
        <is>
          <t>2026-10-14</t>
        </is>
      </c>
    </row>
    <row r="416">
      <c r="A416" s="5" t="inlineStr">
        <is>
          <t>contributions_by_state</t>
        </is>
      </c>
      <c r="B416" s="5" t="n">
        <v>2026</v>
      </c>
      <c r="C416" s="5" t="inlineStr">
        <is>
          <t>Ryan Mackenzie</t>
        </is>
      </c>
      <c r="D416" s="5" t="inlineStr">
        <is>
          <t>REP</t>
        </is>
      </c>
      <c r="E416" s="5" t="n"/>
      <c r="F416" s="5" t="n"/>
      <c r="G416" s="5" t="n"/>
      <c r="H416" s="5" t="n"/>
      <c r="I416" s="5" t="n"/>
      <c r="J416" s="5" t="inlineStr">
        <is>
          <t>IN</t>
        </is>
      </c>
      <c r="K416" s="33" t="n">
        <v>9372.43</v>
      </c>
      <c r="L416" s="34" t="n">
        <v>203</v>
      </c>
      <c r="M416" s="5" t="inlineStr">
        <is>
          <t>2026-10-14</t>
        </is>
      </c>
    </row>
    <row r="417">
      <c r="A417" s="5" t="inlineStr">
        <is>
          <t>contributions_by_state</t>
        </is>
      </c>
      <c r="B417" s="5" t="n">
        <v>2026</v>
      </c>
      <c r="C417" s="5" t="inlineStr">
        <is>
          <t>Ryan Mackenzie</t>
        </is>
      </c>
      <c r="D417" s="5" t="inlineStr">
        <is>
          <t>REP</t>
        </is>
      </c>
      <c r="E417" s="5" t="n"/>
      <c r="F417" s="5" t="n"/>
      <c r="G417" s="5" t="n"/>
      <c r="H417" s="5" t="n"/>
      <c r="I417" s="5" t="n"/>
      <c r="J417" s="5" t="inlineStr">
        <is>
          <t>SC</t>
        </is>
      </c>
      <c r="K417" s="33" t="n">
        <v>7790.01</v>
      </c>
      <c r="L417" s="34" t="n">
        <v>415</v>
      </c>
      <c r="M417" s="5" t="inlineStr">
        <is>
          <t>2026-10-14</t>
        </is>
      </c>
    </row>
    <row r="418">
      <c r="A418" s="5" t="inlineStr">
        <is>
          <t>contributions_by_state</t>
        </is>
      </c>
      <c r="B418" s="5" t="n">
        <v>2026</v>
      </c>
      <c r="C418" s="5" t="inlineStr">
        <is>
          <t>Ryan Mackenzie</t>
        </is>
      </c>
      <c r="D418" s="5" t="inlineStr">
        <is>
          <t>REP</t>
        </is>
      </c>
      <c r="E418" s="5" t="n"/>
      <c r="F418" s="5" t="n"/>
      <c r="G418" s="5" t="n"/>
      <c r="H418" s="5" t="n"/>
      <c r="I418" s="5" t="n"/>
      <c r="J418" s="5" t="inlineStr">
        <is>
          <t>NE</t>
        </is>
      </c>
      <c r="K418" s="33" t="n">
        <v>7000</v>
      </c>
      <c r="L418" s="34" t="n">
        <v>2</v>
      </c>
      <c r="M418" s="5" t="inlineStr">
        <is>
          <t>2026-10-14</t>
        </is>
      </c>
    </row>
    <row r="419">
      <c r="A419" s="5" t="inlineStr">
        <is>
          <t>contributions_by_state</t>
        </is>
      </c>
      <c r="B419" s="5" t="n">
        <v>2026</v>
      </c>
      <c r="C419" s="5" t="inlineStr">
        <is>
          <t>Ryan Mackenzie</t>
        </is>
      </c>
      <c r="D419" s="5" t="inlineStr">
        <is>
          <t>REP</t>
        </is>
      </c>
      <c r="E419" s="5" t="n"/>
      <c r="F419" s="5" t="n"/>
      <c r="G419" s="5" t="n"/>
      <c r="H419" s="5" t="n"/>
      <c r="I419" s="5" t="n"/>
      <c r="J419" s="5" t="inlineStr">
        <is>
          <t>MS</t>
        </is>
      </c>
      <c r="K419" s="33" t="n">
        <v>5904.04</v>
      </c>
      <c r="L419" s="34" t="n">
        <v>330</v>
      </c>
      <c r="M419" s="5" t="inlineStr">
        <is>
          <t>2026-10-14</t>
        </is>
      </c>
    </row>
    <row r="420">
      <c r="A420" s="5" t="inlineStr">
        <is>
          <t>contributions_by_state</t>
        </is>
      </c>
      <c r="B420" s="5" t="n">
        <v>2026</v>
      </c>
      <c r="C420" s="5" t="inlineStr">
        <is>
          <t>Ryan Mackenzie</t>
        </is>
      </c>
      <c r="D420" s="5" t="inlineStr">
        <is>
          <t>REP</t>
        </is>
      </c>
      <c r="E420" s="5" t="n"/>
      <c r="F420" s="5" t="n"/>
      <c r="G420" s="5" t="n"/>
      <c r="H420" s="5" t="n"/>
      <c r="I420" s="5" t="n"/>
      <c r="J420" s="5" t="inlineStr">
        <is>
          <t>NM</t>
        </is>
      </c>
      <c r="K420" s="33" t="n">
        <v>4627.93</v>
      </c>
      <c r="L420" s="34" t="n">
        <v>103</v>
      </c>
      <c r="M420" s="5" t="inlineStr">
        <is>
          <t>2026-10-14</t>
        </is>
      </c>
    </row>
    <row r="421">
      <c r="A421" s="5" t="inlineStr">
        <is>
          <t>contributions_by_state</t>
        </is>
      </c>
      <c r="B421" s="5" t="n">
        <v>2026</v>
      </c>
      <c r="C421" s="5" t="inlineStr">
        <is>
          <t>Ryan Mackenzie</t>
        </is>
      </c>
      <c r="D421" s="5" t="inlineStr">
        <is>
          <t>REP</t>
        </is>
      </c>
      <c r="E421" s="5" t="n"/>
      <c r="F421" s="5" t="n"/>
      <c r="G421" s="5" t="n"/>
      <c r="H421" s="5" t="n"/>
      <c r="I421" s="5" t="n"/>
      <c r="J421" s="5" t="inlineStr">
        <is>
          <t>NC</t>
        </is>
      </c>
      <c r="K421" s="33" t="n">
        <v>4480.64</v>
      </c>
      <c r="L421" s="34" t="n">
        <v>174</v>
      </c>
      <c r="M421" s="5" t="inlineStr">
        <is>
          <t>2026-10-14</t>
        </is>
      </c>
    </row>
    <row r="422">
      <c r="A422" s="5" t="inlineStr">
        <is>
          <t>contributions_by_state</t>
        </is>
      </c>
      <c r="B422" s="5" t="n">
        <v>2026</v>
      </c>
      <c r="C422" s="5" t="inlineStr">
        <is>
          <t>Ryan Mackenzie</t>
        </is>
      </c>
      <c r="D422" s="5" t="inlineStr">
        <is>
          <t>REP</t>
        </is>
      </c>
      <c r="E422" s="5" t="n"/>
      <c r="F422" s="5" t="n"/>
      <c r="G422" s="5" t="n"/>
      <c r="H422" s="5" t="n"/>
      <c r="I422" s="5" t="n"/>
      <c r="J422" s="5" t="inlineStr">
        <is>
          <t>MT</t>
        </is>
      </c>
      <c r="K422" s="33" t="n">
        <v>3462.86</v>
      </c>
      <c r="L422" s="34" t="n">
        <v>125</v>
      </c>
      <c r="M422" s="5" t="inlineStr">
        <is>
          <t>2026-10-14</t>
        </is>
      </c>
    </row>
    <row r="423">
      <c r="A423" s="5" t="inlineStr">
        <is>
          <t>contributions_by_state</t>
        </is>
      </c>
      <c r="B423" s="5" t="n">
        <v>2026</v>
      </c>
      <c r="C423" s="5" t="inlineStr">
        <is>
          <t>Ryan Mackenzie</t>
        </is>
      </c>
      <c r="D423" s="5" t="inlineStr">
        <is>
          <t>REP</t>
        </is>
      </c>
      <c r="E423" s="5" t="n"/>
      <c r="F423" s="5" t="n"/>
      <c r="G423" s="5" t="n"/>
      <c r="H423" s="5" t="n"/>
      <c r="I423" s="5" t="n"/>
      <c r="J423" s="5" t="inlineStr">
        <is>
          <t>KS</t>
        </is>
      </c>
      <c r="K423" s="33" t="n">
        <v>2739.88</v>
      </c>
      <c r="L423" s="34" t="n">
        <v>189</v>
      </c>
      <c r="M423" s="5" t="inlineStr">
        <is>
          <t>2026-10-14</t>
        </is>
      </c>
    </row>
    <row r="424">
      <c r="A424" s="5" t="inlineStr">
        <is>
          <t>contributions_by_state</t>
        </is>
      </c>
      <c r="B424" s="5" t="n">
        <v>2026</v>
      </c>
      <c r="C424" s="5" t="inlineStr">
        <is>
          <t>Ryan Mackenzie</t>
        </is>
      </c>
      <c r="D424" s="5" t="inlineStr">
        <is>
          <t>REP</t>
        </is>
      </c>
      <c r="E424" s="5" t="n"/>
      <c r="F424" s="5" t="n"/>
      <c r="G424" s="5" t="n"/>
      <c r="H424" s="5" t="n"/>
      <c r="I424" s="5" t="n"/>
      <c r="J424" s="5" t="inlineStr">
        <is>
          <t>SD</t>
        </is>
      </c>
      <c r="K424" s="33" t="n">
        <v>2232.17</v>
      </c>
      <c r="L424" s="34" t="n">
        <v>12</v>
      </c>
      <c r="M424" s="5" t="inlineStr">
        <is>
          <t>2026-10-14</t>
        </is>
      </c>
    </row>
    <row r="425">
      <c r="A425" s="5" t="inlineStr">
        <is>
          <t>contributions_by_state</t>
        </is>
      </c>
      <c r="B425" s="5" t="n">
        <v>2026</v>
      </c>
      <c r="C425" s="5" t="inlineStr">
        <is>
          <t>Ryan Mackenzie</t>
        </is>
      </c>
      <c r="D425" s="5" t="inlineStr">
        <is>
          <t>REP</t>
        </is>
      </c>
      <c r="E425" s="5" t="n"/>
      <c r="F425" s="5" t="n"/>
      <c r="G425" s="5" t="n"/>
      <c r="H425" s="5" t="n"/>
      <c r="I425" s="5" t="n"/>
      <c r="J425" s="5" t="inlineStr">
        <is>
          <t>OK</t>
        </is>
      </c>
      <c r="K425" s="33" t="n">
        <v>1730.26</v>
      </c>
      <c r="L425" s="34" t="n">
        <v>99</v>
      </c>
      <c r="M425" s="5" t="inlineStr">
        <is>
          <t>2026-10-14</t>
        </is>
      </c>
    </row>
    <row r="426">
      <c r="A426" s="5" t="inlineStr">
        <is>
          <t>contributions_by_state</t>
        </is>
      </c>
      <c r="B426" s="5" t="n">
        <v>2026</v>
      </c>
      <c r="C426" s="5" t="inlineStr">
        <is>
          <t>Ryan Mackenzie</t>
        </is>
      </c>
      <c r="D426" s="5" t="inlineStr">
        <is>
          <t>REP</t>
        </is>
      </c>
      <c r="E426" s="5" t="n"/>
      <c r="F426" s="5" t="n"/>
      <c r="G426" s="5" t="n"/>
      <c r="H426" s="5" t="n"/>
      <c r="I426" s="5" t="n"/>
      <c r="J426" s="5" t="inlineStr">
        <is>
          <t>OR</t>
        </is>
      </c>
      <c r="K426" s="33" t="n">
        <v>1289.13</v>
      </c>
      <c r="L426" s="34" t="n">
        <v>56</v>
      </c>
      <c r="M426" s="5" t="inlineStr">
        <is>
          <t>2026-10-14</t>
        </is>
      </c>
    </row>
    <row r="427">
      <c r="A427" s="5" t="inlineStr">
        <is>
          <t>contributions_by_state</t>
        </is>
      </c>
      <c r="B427" s="5" t="n">
        <v>2026</v>
      </c>
      <c r="C427" s="5" t="inlineStr">
        <is>
          <t>Ryan Mackenzie</t>
        </is>
      </c>
      <c r="D427" s="5" t="inlineStr">
        <is>
          <t>REP</t>
        </is>
      </c>
      <c r="E427" s="5" t="n"/>
      <c r="F427" s="5" t="n"/>
      <c r="G427" s="5" t="n"/>
      <c r="H427" s="5" t="n"/>
      <c r="I427" s="5" t="n"/>
      <c r="J427" s="5" t="inlineStr">
        <is>
          <t>DE</t>
        </is>
      </c>
      <c r="K427" s="33" t="n">
        <v>1260</v>
      </c>
      <c r="L427" s="34" t="n">
        <v>24</v>
      </c>
      <c r="M427" s="5" t="inlineStr">
        <is>
          <t>2026-10-14</t>
        </is>
      </c>
    </row>
    <row r="428">
      <c r="A428" s="5" t="inlineStr">
        <is>
          <t>contributions_by_state</t>
        </is>
      </c>
      <c r="B428" s="5" t="n">
        <v>2026</v>
      </c>
      <c r="C428" s="5" t="inlineStr">
        <is>
          <t>Ryan Mackenzie</t>
        </is>
      </c>
      <c r="D428" s="5" t="inlineStr">
        <is>
          <t>REP</t>
        </is>
      </c>
      <c r="E428" s="5" t="n"/>
      <c r="F428" s="5" t="n"/>
      <c r="G428" s="5" t="n"/>
      <c r="H428" s="5" t="n"/>
      <c r="I428" s="5" t="n"/>
      <c r="J428" s="5" t="inlineStr">
        <is>
          <t>IA</t>
        </is>
      </c>
      <c r="K428" s="33" t="n">
        <v>1073.48</v>
      </c>
      <c r="L428" s="34" t="n">
        <v>60</v>
      </c>
      <c r="M428" s="5" t="inlineStr">
        <is>
          <t>2026-10-14</t>
        </is>
      </c>
    </row>
    <row r="429">
      <c r="A429" s="5" t="inlineStr">
        <is>
          <t>contributions_by_state</t>
        </is>
      </c>
      <c r="B429" s="5" t="n">
        <v>2026</v>
      </c>
      <c r="C429" s="5" t="inlineStr">
        <is>
          <t>Ryan Mackenzie</t>
        </is>
      </c>
      <c r="D429" s="5" t="inlineStr">
        <is>
          <t>REP</t>
        </is>
      </c>
      <c r="E429" s="5" t="n"/>
      <c r="F429" s="5" t="n"/>
      <c r="G429" s="5" t="n"/>
      <c r="H429" s="5" t="n"/>
      <c r="I429" s="5" t="n"/>
      <c r="J429" s="5" t="inlineStr">
        <is>
          <t>RI</t>
        </is>
      </c>
      <c r="K429" s="33" t="n">
        <v>1000</v>
      </c>
      <c r="L429" s="34" t="n">
        <v>1</v>
      </c>
      <c r="M429" s="5" t="inlineStr">
        <is>
          <t>2026-10-14</t>
        </is>
      </c>
    </row>
    <row r="430">
      <c r="A430" s="5" t="inlineStr">
        <is>
          <t>contributions_by_state</t>
        </is>
      </c>
      <c r="B430" s="5" t="n">
        <v>2026</v>
      </c>
      <c r="C430" s="5" t="inlineStr">
        <is>
          <t>Ryan Mackenzie</t>
        </is>
      </c>
      <c r="D430" s="5" t="inlineStr">
        <is>
          <t>REP</t>
        </is>
      </c>
      <c r="E430" s="5" t="n"/>
      <c r="F430" s="5" t="n"/>
      <c r="G430" s="5" t="n"/>
      <c r="H430" s="5" t="n"/>
      <c r="I430" s="5" t="n"/>
      <c r="J430" s="5" t="inlineStr">
        <is>
          <t>WV</t>
        </is>
      </c>
      <c r="K430" s="33" t="n">
        <v>905.35</v>
      </c>
      <c r="L430" s="34" t="n">
        <v>13</v>
      </c>
      <c r="M430" s="5" t="inlineStr">
        <is>
          <t>2026-10-14</t>
        </is>
      </c>
    </row>
    <row r="431">
      <c r="A431" s="5" t="inlineStr">
        <is>
          <t>contributions_by_state</t>
        </is>
      </c>
      <c r="B431" s="5" t="n">
        <v>2026</v>
      </c>
      <c r="C431" s="5" t="inlineStr">
        <is>
          <t>Ryan Mackenzie</t>
        </is>
      </c>
      <c r="D431" s="5" t="inlineStr">
        <is>
          <t>REP</t>
        </is>
      </c>
      <c r="E431" s="5" t="n"/>
      <c r="F431" s="5" t="n"/>
      <c r="G431" s="5" t="n"/>
      <c r="H431" s="5" t="n"/>
      <c r="I431" s="5" t="n"/>
      <c r="J431" s="5" t="inlineStr">
        <is>
          <t>ME</t>
        </is>
      </c>
      <c r="K431" s="33" t="n">
        <v>722.89</v>
      </c>
      <c r="L431" s="34" t="n">
        <v>194</v>
      </c>
      <c r="M431" s="5" t="inlineStr">
        <is>
          <t>2026-10-14</t>
        </is>
      </c>
    </row>
    <row r="432">
      <c r="A432" s="5" t="inlineStr">
        <is>
          <t>contributions_by_state</t>
        </is>
      </c>
      <c r="B432" s="5" t="n">
        <v>2026</v>
      </c>
      <c r="C432" s="5" t="inlineStr">
        <is>
          <t>Ryan Mackenzie</t>
        </is>
      </c>
      <c r="D432" s="5" t="inlineStr">
        <is>
          <t>REP</t>
        </is>
      </c>
      <c r="E432" s="5" t="n"/>
      <c r="F432" s="5" t="n"/>
      <c r="G432" s="5" t="n"/>
      <c r="H432" s="5" t="n"/>
      <c r="I432" s="5" t="n"/>
      <c r="J432" s="5" t="inlineStr">
        <is>
          <t>HI</t>
        </is>
      </c>
      <c r="K432" s="33" t="n">
        <v>640.23</v>
      </c>
      <c r="L432" s="34" t="n">
        <v>31</v>
      </c>
      <c r="M432" s="5" t="inlineStr">
        <is>
          <t>2026-10-14</t>
        </is>
      </c>
    </row>
    <row r="433">
      <c r="A433" s="5" t="inlineStr">
        <is>
          <t>contributions_by_state</t>
        </is>
      </c>
      <c r="B433" s="5" t="n">
        <v>2026</v>
      </c>
      <c r="C433" s="5" t="inlineStr">
        <is>
          <t>Ryan Mackenzie</t>
        </is>
      </c>
      <c r="D433" s="5" t="inlineStr">
        <is>
          <t>REP</t>
        </is>
      </c>
      <c r="E433" s="5" t="n"/>
      <c r="F433" s="5" t="n"/>
      <c r="G433" s="5" t="n"/>
      <c r="H433" s="5" t="n"/>
      <c r="I433" s="5" t="n"/>
      <c r="J433" s="5" t="inlineStr">
        <is>
          <t>KY</t>
        </is>
      </c>
      <c r="K433" s="33" t="n">
        <v>557.48</v>
      </c>
      <c r="L433" s="34" t="n">
        <v>71</v>
      </c>
      <c r="M433" s="5" t="inlineStr">
        <is>
          <t>2026-10-14</t>
        </is>
      </c>
    </row>
    <row r="434">
      <c r="A434" s="5" t="inlineStr">
        <is>
          <t>contributions_by_state</t>
        </is>
      </c>
      <c r="B434" s="5" t="n">
        <v>2026</v>
      </c>
      <c r="C434" s="5" t="inlineStr">
        <is>
          <t>Ryan Mackenzie</t>
        </is>
      </c>
      <c r="D434" s="5" t="inlineStr">
        <is>
          <t>REP</t>
        </is>
      </c>
      <c r="E434" s="5" t="n"/>
      <c r="F434" s="5" t="n"/>
      <c r="G434" s="5" t="n"/>
      <c r="H434" s="5" t="n"/>
      <c r="I434" s="5" t="n"/>
      <c r="J434" s="5" t="inlineStr">
        <is>
          <t>ND</t>
        </is>
      </c>
      <c r="K434" s="33" t="n">
        <v>250</v>
      </c>
      <c r="L434" s="34" t="n">
        <v>1</v>
      </c>
      <c r="M434" s="5" t="inlineStr">
        <is>
          <t>2026-10-14</t>
        </is>
      </c>
    </row>
    <row r="435">
      <c r="A435" s="5" t="inlineStr">
        <is>
          <t>contributions_by_state</t>
        </is>
      </c>
      <c r="B435" s="5" t="n">
        <v>2026</v>
      </c>
      <c r="C435" s="5" t="inlineStr">
        <is>
          <t>Ryan Mackenzie</t>
        </is>
      </c>
      <c r="D435" s="5" t="inlineStr">
        <is>
          <t>REP</t>
        </is>
      </c>
      <c r="E435" s="5" t="n"/>
      <c r="F435" s="5" t="n"/>
      <c r="G435" s="5" t="n"/>
      <c r="H435" s="5" t="n"/>
      <c r="I435" s="5" t="n"/>
      <c r="J435" s="5" t="inlineStr">
        <is>
          <t>AK</t>
        </is>
      </c>
      <c r="K435" s="33" t="n">
        <v>6.18</v>
      </c>
      <c r="L435" s="34" t="n">
        <v>4</v>
      </c>
      <c r="M435" s="5" t="inlineStr">
        <is>
          <t>2026-10-14</t>
        </is>
      </c>
    </row>
    <row r="436">
      <c r="A436" s="5" t="inlineStr">
        <is>
          <t>contributions_by_size</t>
        </is>
      </c>
      <c r="B436" s="5" t="n">
        <v>2026</v>
      </c>
      <c r="C436" s="5" t="inlineStr">
        <is>
          <t>Ryan Mackenzie</t>
        </is>
      </c>
      <c r="D436" s="5" t="inlineStr">
        <is>
          <t>REP</t>
        </is>
      </c>
      <c r="E436" s="5" t="n"/>
      <c r="F436" s="5" t="inlineStr">
        <is>
          <t>$200 or less</t>
        </is>
      </c>
      <c r="G436" s="5" t="n"/>
      <c r="H436" s="5" t="n"/>
      <c r="I436" s="5" t="n"/>
      <c r="J436" s="5" t="n"/>
      <c r="K436" s="33" t="n">
        <v>846543.27</v>
      </c>
      <c r="L436" s="34" t="n"/>
      <c r="M436" s="5" t="inlineStr">
        <is>
          <t>2026-10-14</t>
        </is>
      </c>
    </row>
    <row r="437">
      <c r="A437" s="5" t="inlineStr">
        <is>
          <t>contributions_by_size</t>
        </is>
      </c>
      <c r="B437" s="5" t="n">
        <v>2026</v>
      </c>
      <c r="C437" s="5" t="inlineStr">
        <is>
          <t>Ryan Mackenzie</t>
        </is>
      </c>
      <c r="D437" s="5" t="inlineStr">
        <is>
          <t>REP</t>
        </is>
      </c>
      <c r="E437" s="5" t="n"/>
      <c r="F437" s="5" t="inlineStr">
        <is>
          <t>$200.01 to $499.99</t>
        </is>
      </c>
      <c r="G437" s="5" t="n"/>
      <c r="H437" s="5" t="n"/>
      <c r="I437" s="5" t="n"/>
      <c r="J437" s="5" t="n"/>
      <c r="K437" s="33" t="n">
        <v>101351.85</v>
      </c>
      <c r="L437" s="34" t="n">
        <v>372</v>
      </c>
      <c r="M437" s="5" t="inlineStr">
        <is>
          <t>2026-10-14</t>
        </is>
      </c>
    </row>
    <row r="438">
      <c r="A438" s="5" t="inlineStr">
        <is>
          <t>contributions_by_size</t>
        </is>
      </c>
      <c r="B438" s="5" t="n">
        <v>2026</v>
      </c>
      <c r="C438" s="5" t="inlineStr">
        <is>
          <t>Ryan Mackenzie</t>
        </is>
      </c>
      <c r="D438" s="5" t="inlineStr">
        <is>
          <t>REP</t>
        </is>
      </c>
      <c r="E438" s="5" t="n"/>
      <c r="F438" s="5" t="inlineStr">
        <is>
          <t>$500 to $999.99</t>
        </is>
      </c>
      <c r="G438" s="5" t="n"/>
      <c r="H438" s="5" t="n"/>
      <c r="I438" s="5" t="n"/>
      <c r="J438" s="5" t="n"/>
      <c r="K438" s="33" t="n">
        <v>250771.82</v>
      </c>
      <c r="L438" s="34" t="n">
        <v>443</v>
      </c>
      <c r="M438" s="5" t="inlineStr">
        <is>
          <t>2026-10-14</t>
        </is>
      </c>
    </row>
    <row r="439">
      <c r="A439" s="5" t="inlineStr">
        <is>
          <t>contributions_by_size</t>
        </is>
      </c>
      <c r="B439" s="5" t="n">
        <v>2026</v>
      </c>
      <c r="C439" s="5" t="inlineStr">
        <is>
          <t>Ryan Mackenzie</t>
        </is>
      </c>
      <c r="D439" s="5" t="inlineStr">
        <is>
          <t>REP</t>
        </is>
      </c>
      <c r="E439" s="5" t="n"/>
      <c r="F439" s="5" t="inlineStr">
        <is>
          <t>$1,000 to $1,999.99</t>
        </is>
      </c>
      <c r="G439" s="5" t="n"/>
      <c r="H439" s="5" t="n"/>
      <c r="I439" s="5" t="n"/>
      <c r="J439" s="5" t="n"/>
      <c r="K439" s="33" t="n">
        <v>598054.96</v>
      </c>
      <c r="L439" s="34" t="n">
        <v>482</v>
      </c>
      <c r="M439" s="5" t="inlineStr">
        <is>
          <t>2026-10-14</t>
        </is>
      </c>
    </row>
    <row r="440">
      <c r="A440" s="5" t="inlineStr">
        <is>
          <t>contributions_by_size</t>
        </is>
      </c>
      <c r="B440" s="5" t="n">
        <v>2026</v>
      </c>
      <c r="C440" s="5" t="inlineStr">
        <is>
          <t>Ryan Mackenzie</t>
        </is>
      </c>
      <c r="D440" s="5" t="inlineStr">
        <is>
          <t>REP</t>
        </is>
      </c>
      <c r="E440" s="5" t="n"/>
      <c r="F440" s="5" t="inlineStr">
        <is>
          <t>$2,000 and over</t>
        </is>
      </c>
      <c r="G440" s="5" t="n"/>
      <c r="H440" s="5" t="n"/>
      <c r="I440" s="5" t="n"/>
      <c r="J440" s="5" t="n"/>
      <c r="K440" s="33" t="n">
        <v>1814220.05</v>
      </c>
      <c r="L440" s="34" t="n">
        <v>607</v>
      </c>
      <c r="M440" s="5" t="inlineStr">
        <is>
          <t>2026-10-14</t>
        </is>
      </c>
    </row>
    <row r="441">
      <c r="A441" s="5" t="inlineStr">
        <is>
          <t>contributions_in_district</t>
        </is>
      </c>
      <c r="B441" s="5" t="n">
        <v>2026</v>
      </c>
      <c r="C441" s="5" t="inlineStr">
        <is>
          <t>Ryan Mackenzie</t>
        </is>
      </c>
      <c r="D441" s="5" t="inlineStr">
        <is>
          <t>REP</t>
        </is>
      </c>
      <c r="E441" s="5" t="n"/>
      <c r="F441" s="5" t="inlineStr">
        <is>
          <t>Zip codes 180xx, 181xx, 182xx, 183xx</t>
        </is>
      </c>
      <c r="G441" s="5" t="inlineStr">
        <is>
          <t>In district (approximate)</t>
        </is>
      </c>
      <c r="H441" s="5" t="n"/>
      <c r="I441" s="5" t="n"/>
      <c r="J441" s="5" t="n"/>
      <c r="K441" s="33" t="n">
        <v>395259.46</v>
      </c>
      <c r="L441" s="34" t="n"/>
      <c r="M441" s="5" t="inlineStr">
        <is>
          <t>2026-10-14</t>
        </is>
      </c>
    </row>
    <row r="442">
      <c r="A442" s="5" t="inlineStr">
        <is>
          <t>contributions_in_district</t>
        </is>
      </c>
      <c r="B442" s="5" t="n">
        <v>2026</v>
      </c>
      <c r="C442" s="5" t="inlineStr">
        <is>
          <t>Ryan Mackenzie</t>
        </is>
      </c>
      <c r="D442" s="5" t="inlineStr">
        <is>
          <t>REP</t>
        </is>
      </c>
      <c r="E442" s="5" t="n"/>
      <c r="F442" s="5" t="n"/>
      <c r="G442" s="5" t="inlineStr">
        <is>
          <t>All itemized, by zip</t>
        </is>
      </c>
      <c r="H442" s="5" t="n"/>
      <c r="I442" s="5" t="n"/>
      <c r="J442" s="5" t="n"/>
      <c r="K442" s="33" t="n">
        <v>2944555.07</v>
      </c>
      <c r="L442" s="34" t="n">
        <v>1088</v>
      </c>
      <c r="M442" s="5" t="inlineStr">
        <is>
          <t>2026-10-14</t>
        </is>
      </c>
    </row>
    <row r="443">
      <c r="A443" s="5" t="inlineStr">
        <is>
          <t>contributions_top_zips</t>
        </is>
      </c>
      <c r="B443" s="5" t="n">
        <v>2026</v>
      </c>
      <c r="C443" s="5" t="inlineStr">
        <is>
          <t>Ryan Mackenzie</t>
        </is>
      </c>
      <c r="D443" s="5" t="inlineStr">
        <is>
          <t>REP</t>
        </is>
      </c>
      <c r="E443" s="5" t="n"/>
      <c r="F443" s="5" t="n"/>
      <c r="G443" s="5" t="inlineStr">
        <is>
          <t>33480</t>
        </is>
      </c>
      <c r="H443" s="5" t="n"/>
      <c r="I443" s="5" t="n"/>
      <c r="J443" s="5" t="n"/>
      <c r="K443" s="33" t="n">
        <v>109288</v>
      </c>
      <c r="L443" s="34" t="n">
        <v>71</v>
      </c>
      <c r="M443" s="5" t="inlineStr">
        <is>
          <t>2026-10-14</t>
        </is>
      </c>
    </row>
    <row r="444">
      <c r="A444" s="5" t="inlineStr">
        <is>
          <t>contributions_top_zips</t>
        </is>
      </c>
      <c r="B444" s="5" t="n">
        <v>2026</v>
      </c>
      <c r="C444" s="5" t="inlineStr">
        <is>
          <t>Ryan Mackenzie</t>
        </is>
      </c>
      <c r="D444" s="5" t="inlineStr">
        <is>
          <t>REP</t>
        </is>
      </c>
      <c r="E444" s="5" t="n"/>
      <c r="F444" s="5" t="n"/>
      <c r="G444" s="5" t="inlineStr">
        <is>
          <t>18104</t>
        </is>
      </c>
      <c r="H444" s="5" t="n"/>
      <c r="I444" s="5" t="n"/>
      <c r="J444" s="5" t="n"/>
      <c r="K444" s="33" t="n">
        <v>72871.08</v>
      </c>
      <c r="L444" s="34" t="n">
        <v>167</v>
      </c>
      <c r="M444" s="5" t="inlineStr">
        <is>
          <t>2026-10-14</t>
        </is>
      </c>
    </row>
    <row r="445">
      <c r="A445" s="5" t="inlineStr">
        <is>
          <t>contributions_top_zips</t>
        </is>
      </c>
      <c r="B445" s="5" t="n">
        <v>2026</v>
      </c>
      <c r="C445" s="5" t="inlineStr">
        <is>
          <t>Ryan Mackenzie</t>
        </is>
      </c>
      <c r="D445" s="5" t="inlineStr">
        <is>
          <t>REP</t>
        </is>
      </c>
      <c r="E445" s="5" t="n"/>
      <c r="F445" s="5" t="n"/>
      <c r="G445" s="5" t="inlineStr">
        <is>
          <t>18103</t>
        </is>
      </c>
      <c r="H445" s="5" t="n"/>
      <c r="I445" s="5" t="n"/>
      <c r="J445" s="5" t="n"/>
      <c r="K445" s="33" t="n">
        <v>65790.87</v>
      </c>
      <c r="L445" s="34" t="n">
        <v>85</v>
      </c>
      <c r="M445" s="5" t="inlineStr">
        <is>
          <t>2026-10-14</t>
        </is>
      </c>
    </row>
    <row r="446">
      <c r="A446" s="5" t="inlineStr">
        <is>
          <t>contributions_top_zips</t>
        </is>
      </c>
      <c r="B446" s="5" t="n">
        <v>2026</v>
      </c>
      <c r="C446" s="5" t="inlineStr">
        <is>
          <t>Ryan Mackenzie</t>
        </is>
      </c>
      <c r="D446" s="5" t="inlineStr">
        <is>
          <t>REP</t>
        </is>
      </c>
      <c r="E446" s="5" t="n"/>
      <c r="F446" s="5" t="n"/>
      <c r="G446" s="5" t="inlineStr">
        <is>
          <t>75225</t>
        </is>
      </c>
      <c r="H446" s="5" t="n"/>
      <c r="I446" s="5" t="n"/>
      <c r="J446" s="5" t="n"/>
      <c r="K446" s="33" t="n">
        <v>48572.46</v>
      </c>
      <c r="L446" s="34" t="n">
        <v>35</v>
      </c>
      <c r="M446" s="5" t="inlineStr">
        <is>
          <t>2026-10-14</t>
        </is>
      </c>
    </row>
    <row r="447">
      <c r="A447" s="5" t="inlineStr">
        <is>
          <t>contributions_top_zips</t>
        </is>
      </c>
      <c r="B447" s="5" t="n">
        <v>2026</v>
      </c>
      <c r="C447" s="5" t="inlineStr">
        <is>
          <t>Ryan Mackenzie</t>
        </is>
      </c>
      <c r="D447" s="5" t="inlineStr">
        <is>
          <t>REP</t>
        </is>
      </c>
      <c r="E447" s="5" t="n"/>
      <c r="F447" s="5" t="n"/>
      <c r="G447" s="5" t="inlineStr">
        <is>
          <t>33139</t>
        </is>
      </c>
      <c r="H447" s="5" t="n"/>
      <c r="I447" s="5" t="n"/>
      <c r="J447" s="5" t="n"/>
      <c r="K447" s="33" t="n">
        <v>29516.7</v>
      </c>
      <c r="L447" s="34" t="n">
        <v>14</v>
      </c>
      <c r="M447" s="5" t="inlineStr">
        <is>
          <t>2026-10-14</t>
        </is>
      </c>
    </row>
    <row r="448">
      <c r="A448" s="5" t="inlineStr">
        <is>
          <t>contributions_top_zips</t>
        </is>
      </c>
      <c r="B448" s="5" t="n">
        <v>2026</v>
      </c>
      <c r="C448" s="5" t="inlineStr">
        <is>
          <t>Ryan Mackenzie</t>
        </is>
      </c>
      <c r="D448" s="5" t="inlineStr">
        <is>
          <t>REP</t>
        </is>
      </c>
      <c r="E448" s="5" t="n"/>
      <c r="F448" s="5" t="n"/>
      <c r="G448" s="5" t="inlineStr">
        <is>
          <t>32963</t>
        </is>
      </c>
      <c r="H448" s="5" t="n"/>
      <c r="I448" s="5" t="n"/>
      <c r="J448" s="5" t="n"/>
      <c r="K448" s="33" t="n">
        <v>28365.81</v>
      </c>
      <c r="L448" s="34" t="n">
        <v>16</v>
      </c>
      <c r="M448" s="5" t="inlineStr">
        <is>
          <t>2026-10-14</t>
        </is>
      </c>
    </row>
    <row r="449">
      <c r="A449" s="5" t="inlineStr">
        <is>
          <t>contributions_top_zips</t>
        </is>
      </c>
      <c r="B449" s="5" t="n">
        <v>2026</v>
      </c>
      <c r="C449" s="5" t="inlineStr">
        <is>
          <t>Ryan Mackenzie</t>
        </is>
      </c>
      <c r="D449" s="5" t="inlineStr">
        <is>
          <t>REP</t>
        </is>
      </c>
      <c r="E449" s="5" t="n"/>
      <c r="F449" s="5" t="n"/>
      <c r="G449" s="5" t="inlineStr">
        <is>
          <t>75219</t>
        </is>
      </c>
      <c r="H449" s="5" t="n"/>
      <c r="I449" s="5" t="n"/>
      <c r="J449" s="5" t="n"/>
      <c r="K449" s="33" t="n">
        <v>26867.96</v>
      </c>
      <c r="L449" s="34" t="n">
        <v>11</v>
      </c>
      <c r="M449" s="5" t="inlineStr">
        <is>
          <t>2026-10-14</t>
        </is>
      </c>
    </row>
    <row r="450">
      <c r="A450" s="5" t="inlineStr">
        <is>
          <t>contributions_top_zips</t>
        </is>
      </c>
      <c r="B450" s="5" t="n">
        <v>2026</v>
      </c>
      <c r="C450" s="5" t="inlineStr">
        <is>
          <t>Ryan Mackenzie</t>
        </is>
      </c>
      <c r="D450" s="5" t="inlineStr">
        <is>
          <t>REP</t>
        </is>
      </c>
      <c r="E450" s="5" t="n"/>
      <c r="F450" s="5" t="n"/>
      <c r="G450" s="5" t="inlineStr">
        <is>
          <t>18015</t>
        </is>
      </c>
      <c r="H450" s="5" t="n"/>
      <c r="I450" s="5" t="n"/>
      <c r="J450" s="5" t="n"/>
      <c r="K450" s="33" t="n">
        <v>26183.82</v>
      </c>
      <c r="L450" s="34" t="n">
        <v>36</v>
      </c>
      <c r="M450" s="5" t="inlineStr">
        <is>
          <t>2026-10-14</t>
        </is>
      </c>
    </row>
    <row r="451">
      <c r="A451" s="5" t="inlineStr">
        <is>
          <t>contributions_top_zips</t>
        </is>
      </c>
      <c r="B451" s="5" t="n">
        <v>2026</v>
      </c>
      <c r="C451" s="5" t="inlineStr">
        <is>
          <t>Ryan Mackenzie</t>
        </is>
      </c>
      <c r="D451" s="5" t="inlineStr">
        <is>
          <t>REP</t>
        </is>
      </c>
      <c r="E451" s="5" t="n"/>
      <c r="F451" s="5" t="n"/>
      <c r="G451" s="5" t="inlineStr">
        <is>
          <t>33401</t>
        </is>
      </c>
      <c r="H451" s="5" t="n"/>
      <c r="I451" s="5" t="n"/>
      <c r="J451" s="5" t="n"/>
      <c r="K451" s="33" t="n">
        <v>22088.95</v>
      </c>
      <c r="L451" s="34" t="n">
        <v>9</v>
      </c>
      <c r="M451" s="5" t="inlineStr">
        <is>
          <t>2026-10-14</t>
        </is>
      </c>
    </row>
    <row r="452">
      <c r="A452" s="5" t="inlineStr">
        <is>
          <t>contributions_top_zips</t>
        </is>
      </c>
      <c r="B452" s="5" t="n">
        <v>2026</v>
      </c>
      <c r="C452" s="5" t="inlineStr">
        <is>
          <t>Ryan Mackenzie</t>
        </is>
      </c>
      <c r="D452" s="5" t="inlineStr">
        <is>
          <t>REP</t>
        </is>
      </c>
      <c r="E452" s="5" t="n"/>
      <c r="F452" s="5" t="n"/>
      <c r="G452" s="5" t="inlineStr">
        <is>
          <t>18045</t>
        </is>
      </c>
      <c r="H452" s="5" t="n"/>
      <c r="I452" s="5" t="n"/>
      <c r="J452" s="5" t="n"/>
      <c r="K452" s="33" t="n">
        <v>21998.57</v>
      </c>
      <c r="L452" s="34" t="n">
        <v>20</v>
      </c>
      <c r="M452" s="5" t="inlineStr">
        <is>
          <t>2026-10-14</t>
        </is>
      </c>
    </row>
    <row r="453">
      <c r="A453" s="5" t="inlineStr">
        <is>
          <t>contributions_by_occupation</t>
        </is>
      </c>
      <c r="B453" s="5" t="n">
        <v>2026</v>
      </c>
      <c r="C453" s="5" t="inlineStr">
        <is>
          <t>Ryan Mackenzie</t>
        </is>
      </c>
      <c r="D453" s="5" t="inlineStr">
        <is>
          <t>REP</t>
        </is>
      </c>
      <c r="E453" s="5" t="n"/>
      <c r="F453" s="5" t="n"/>
      <c r="G453" s="5" t="inlineStr">
        <is>
          <t>RETIRED</t>
        </is>
      </c>
      <c r="H453" s="5" t="n"/>
      <c r="I453" s="5" t="n"/>
      <c r="J453" s="5" t="n"/>
      <c r="K453" s="33" t="n">
        <v>757056.16</v>
      </c>
      <c r="L453" s="34" t="n">
        <v>10536</v>
      </c>
      <c r="M453" s="5" t="inlineStr">
        <is>
          <t>2026-10-14</t>
        </is>
      </c>
    </row>
    <row r="454">
      <c r="A454" s="5" t="inlineStr">
        <is>
          <t>contributions_by_occupation</t>
        </is>
      </c>
      <c r="B454" s="5" t="n">
        <v>2026</v>
      </c>
      <c r="C454" s="5" t="inlineStr">
        <is>
          <t>Ryan Mackenzie</t>
        </is>
      </c>
      <c r="D454" s="5" t="inlineStr">
        <is>
          <t>REP</t>
        </is>
      </c>
      <c r="E454" s="5" t="n"/>
      <c r="F454" s="5" t="n"/>
      <c r="G454" s="5" t="inlineStr">
        <is>
          <t>CEO</t>
        </is>
      </c>
      <c r="H454" s="5" t="n"/>
      <c r="I454" s="5" t="n"/>
      <c r="J454" s="5" t="n"/>
      <c r="K454" s="33" t="n">
        <v>309337.13</v>
      </c>
      <c r="L454" s="34" t="n">
        <v>275</v>
      </c>
      <c r="M454" s="5" t="inlineStr">
        <is>
          <t>2026-10-14</t>
        </is>
      </c>
    </row>
    <row r="455">
      <c r="A455" s="5" t="inlineStr">
        <is>
          <t>contributions_by_occupation</t>
        </is>
      </c>
      <c r="B455" s="5" t="n">
        <v>2026</v>
      </c>
      <c r="C455" s="5" t="inlineStr">
        <is>
          <t>Ryan Mackenzie</t>
        </is>
      </c>
      <c r="D455" s="5" t="inlineStr">
        <is>
          <t>REP</t>
        </is>
      </c>
      <c r="E455" s="5" t="n"/>
      <c r="F455" s="5" t="n"/>
      <c r="G455" s="5" t="inlineStr">
        <is>
          <t>OWNER</t>
        </is>
      </c>
      <c r="H455" s="5" t="n"/>
      <c r="I455" s="5" t="n"/>
      <c r="J455" s="5" t="n"/>
      <c r="K455" s="33" t="n">
        <v>169174.26</v>
      </c>
      <c r="L455" s="34" t="n">
        <v>142</v>
      </c>
      <c r="M455" s="5" t="inlineStr">
        <is>
          <t>2026-10-14</t>
        </is>
      </c>
    </row>
    <row r="456">
      <c r="A456" s="5" t="inlineStr">
        <is>
          <t>contributions_by_occupation</t>
        </is>
      </c>
      <c r="B456" s="5" t="n">
        <v>2026</v>
      </c>
      <c r="C456" s="5" t="inlineStr">
        <is>
          <t>Ryan Mackenzie</t>
        </is>
      </c>
      <c r="D456" s="5" t="inlineStr">
        <is>
          <t>REP</t>
        </is>
      </c>
      <c r="E456" s="5" t="n"/>
      <c r="F456" s="5" t="n"/>
      <c r="G456" s="5" t="inlineStr">
        <is>
          <t>CHAIRMAN</t>
        </is>
      </c>
      <c r="H456" s="5" t="n"/>
      <c r="I456" s="5" t="n"/>
      <c r="J456" s="5" t="n"/>
      <c r="K456" s="33" t="n">
        <v>126323.31</v>
      </c>
      <c r="L456" s="34" t="n">
        <v>75</v>
      </c>
      <c r="M456" s="5" t="inlineStr">
        <is>
          <t>2026-10-14</t>
        </is>
      </c>
    </row>
    <row r="457">
      <c r="A457" s="5" t="inlineStr">
        <is>
          <t>contributions_by_occupation</t>
        </is>
      </c>
      <c r="B457" s="5" t="n">
        <v>2026</v>
      </c>
      <c r="C457" s="5" t="inlineStr">
        <is>
          <t>Ryan Mackenzie</t>
        </is>
      </c>
      <c r="D457" s="5" t="inlineStr">
        <is>
          <t>REP</t>
        </is>
      </c>
      <c r="E457" s="5" t="n"/>
      <c r="F457" s="5" t="n"/>
      <c r="G457" s="5" t="inlineStr">
        <is>
          <t>PRESIDENT</t>
        </is>
      </c>
      <c r="H457" s="5" t="n"/>
      <c r="I457" s="5" t="n"/>
      <c r="J457" s="5" t="n"/>
      <c r="K457" s="33" t="n">
        <v>124651.54</v>
      </c>
      <c r="L457" s="34" t="n">
        <v>94</v>
      </c>
      <c r="M457" s="5" t="inlineStr">
        <is>
          <t>2026-10-14</t>
        </is>
      </c>
    </row>
    <row r="458">
      <c r="A458" s="5" t="inlineStr">
        <is>
          <t>contributions_by_occupation</t>
        </is>
      </c>
      <c r="B458" s="5" t="n">
        <v>2026</v>
      </c>
      <c r="C458" s="5" t="inlineStr">
        <is>
          <t>Ryan Mackenzie</t>
        </is>
      </c>
      <c r="D458" s="5" t="inlineStr">
        <is>
          <t>REP</t>
        </is>
      </c>
      <c r="E458" s="5" t="n"/>
      <c r="F458" s="5" t="n"/>
      <c r="G458" s="5" t="inlineStr">
        <is>
          <t>EXECUTIVE</t>
        </is>
      </c>
      <c r="H458" s="5" t="n"/>
      <c r="I458" s="5" t="n"/>
      <c r="J458" s="5" t="n"/>
      <c r="K458" s="33" t="n">
        <v>107698.83</v>
      </c>
      <c r="L458" s="34" t="n">
        <v>71</v>
      </c>
      <c r="M458" s="5" t="inlineStr">
        <is>
          <t>2026-10-14</t>
        </is>
      </c>
    </row>
    <row r="459">
      <c r="A459" s="5" t="inlineStr">
        <is>
          <t>contributions_by_occupation</t>
        </is>
      </c>
      <c r="B459" s="5" t="n">
        <v>2026</v>
      </c>
      <c r="C459" s="5" t="inlineStr">
        <is>
          <t>Ryan Mackenzie</t>
        </is>
      </c>
      <c r="D459" s="5" t="inlineStr">
        <is>
          <t>REP</t>
        </is>
      </c>
      <c r="E459" s="5" t="n"/>
      <c r="F459" s="5" t="n"/>
      <c r="G459" s="5" t="inlineStr">
        <is>
          <t>FOUNDER</t>
        </is>
      </c>
      <c r="H459" s="5" t="n"/>
      <c r="I459" s="5" t="n"/>
      <c r="J459" s="5" t="n"/>
      <c r="K459" s="33" t="n">
        <v>105830.87</v>
      </c>
      <c r="L459" s="34" t="n">
        <v>51</v>
      </c>
      <c r="M459" s="5" t="inlineStr">
        <is>
          <t>2026-10-14</t>
        </is>
      </c>
    </row>
    <row r="460">
      <c r="A460" s="5" t="inlineStr">
        <is>
          <t>contributions_by_occupation</t>
        </is>
      </c>
      <c r="B460" s="5" t="n">
        <v>2026</v>
      </c>
      <c r="C460" s="5" t="inlineStr">
        <is>
          <t>Ryan Mackenzie</t>
        </is>
      </c>
      <c r="D460" s="5" t="inlineStr">
        <is>
          <t>REP</t>
        </is>
      </c>
      <c r="E460" s="5" t="n"/>
      <c r="F460" s="5" t="n"/>
      <c r="G460" s="5" t="inlineStr">
        <is>
          <t>HOMEMAKER</t>
        </is>
      </c>
      <c r="H460" s="5" t="n"/>
      <c r="I460" s="5" t="n"/>
      <c r="J460" s="5" t="n"/>
      <c r="K460" s="33" t="n">
        <v>76092.81</v>
      </c>
      <c r="L460" s="34" t="n">
        <v>49</v>
      </c>
      <c r="M460" s="5" t="inlineStr">
        <is>
          <t>2026-10-14</t>
        </is>
      </c>
    </row>
    <row r="461">
      <c r="A461" s="5" t="inlineStr">
        <is>
          <t>contributions_by_occupation</t>
        </is>
      </c>
      <c r="B461" s="5" t="n">
        <v>2026</v>
      </c>
      <c r="C461" s="5" t="inlineStr">
        <is>
          <t>Ryan Mackenzie</t>
        </is>
      </c>
      <c r="D461" s="5" t="inlineStr">
        <is>
          <t>REP</t>
        </is>
      </c>
      <c r="E461" s="5" t="n"/>
      <c r="F461" s="5" t="n"/>
      <c r="G461" s="5" t="inlineStr">
        <is>
          <t>INVESTOR</t>
        </is>
      </c>
      <c r="H461" s="5" t="n"/>
      <c r="I461" s="5" t="n"/>
      <c r="J461" s="5" t="n"/>
      <c r="K461" s="33" t="n">
        <v>75497.97</v>
      </c>
      <c r="L461" s="34" t="n">
        <v>58</v>
      </c>
      <c r="M461" s="5" t="inlineStr">
        <is>
          <t>2026-10-14</t>
        </is>
      </c>
    </row>
    <row r="462">
      <c r="A462" s="5" t="inlineStr">
        <is>
          <t>contributions_by_occupation</t>
        </is>
      </c>
      <c r="B462" s="5" t="n">
        <v>2026</v>
      </c>
      <c r="C462" s="5" t="inlineStr">
        <is>
          <t>Ryan Mackenzie</t>
        </is>
      </c>
      <c r="D462" s="5" t="inlineStr">
        <is>
          <t>REP</t>
        </is>
      </c>
      <c r="E462" s="5" t="n"/>
      <c r="F462" s="5" t="n"/>
      <c r="G462" s="5" t="inlineStr">
        <is>
          <t>ATTORNEY</t>
        </is>
      </c>
      <c r="H462" s="5" t="n"/>
      <c r="I462" s="5" t="n"/>
      <c r="J462" s="5" t="n"/>
      <c r="K462" s="33" t="n">
        <v>68701.13</v>
      </c>
      <c r="L462" s="34" t="n">
        <v>67</v>
      </c>
      <c r="M462" s="5" t="inlineStr">
        <is>
          <t>2026-10-14</t>
        </is>
      </c>
    </row>
    <row r="463">
      <c r="A463" s="5" t="inlineStr">
        <is>
          <t>contributions_by_occupation</t>
        </is>
      </c>
      <c r="B463" s="5" t="n">
        <v>2026</v>
      </c>
      <c r="C463" s="5" t="inlineStr">
        <is>
          <t>Ryan Mackenzie</t>
        </is>
      </c>
      <c r="D463" s="5" t="inlineStr">
        <is>
          <t>REP</t>
        </is>
      </c>
      <c r="E463" s="5" t="n"/>
      <c r="F463" s="5" t="n"/>
      <c r="G463" s="5" t="inlineStr">
        <is>
          <t>MANAGING DIRECTOR</t>
        </is>
      </c>
      <c r="H463" s="5" t="n"/>
      <c r="I463" s="5" t="n"/>
      <c r="J463" s="5" t="n"/>
      <c r="K463" s="33" t="n">
        <v>30316.26</v>
      </c>
      <c r="L463" s="34" t="n">
        <v>15</v>
      </c>
      <c r="M463" s="5" t="inlineStr">
        <is>
          <t>2026-10-14</t>
        </is>
      </c>
    </row>
    <row r="464">
      <c r="A464" s="5" t="inlineStr">
        <is>
          <t>contributions_by_occupation</t>
        </is>
      </c>
      <c r="B464" s="5" t="n">
        <v>2026</v>
      </c>
      <c r="C464" s="5" t="inlineStr">
        <is>
          <t>Ryan Mackenzie</t>
        </is>
      </c>
      <c r="D464" s="5" t="inlineStr">
        <is>
          <t>REP</t>
        </is>
      </c>
      <c r="E464" s="5" t="n"/>
      <c r="F464" s="5" t="n"/>
      <c r="G464" s="5" t="inlineStr">
        <is>
          <t>CO-CEO</t>
        </is>
      </c>
      <c r="H464" s="5" t="n"/>
      <c r="I464" s="5" t="n"/>
      <c r="J464" s="5" t="n"/>
      <c r="K464" s="33" t="n">
        <v>23913.33</v>
      </c>
      <c r="L464" s="34" t="n">
        <v>8</v>
      </c>
      <c r="M464" s="5" t="inlineStr">
        <is>
          <t>2026-10-14</t>
        </is>
      </c>
    </row>
    <row r="465">
      <c r="A465" s="5" t="inlineStr">
        <is>
          <t>history_finance</t>
        </is>
      </c>
      <c r="B465" s="5" t="n">
        <v>2018</v>
      </c>
      <c r="C465" s="5" t="inlineStr">
        <is>
          <t>Susan Wild</t>
        </is>
      </c>
      <c r="D465" s="5" t="inlineStr">
        <is>
          <t>DEM</t>
        </is>
      </c>
      <c r="E465" s="5" t="n"/>
      <c r="F465" s="5" t="n"/>
      <c r="G465" s="5" t="inlineStr">
        <is>
          <t>Receipts</t>
        </is>
      </c>
      <c r="H465" s="5" t="n"/>
      <c r="I465" s="5" t="n"/>
      <c r="J465" s="5" t="n"/>
      <c r="K465" s="33" t="n">
        <v>3320188.01</v>
      </c>
      <c r="L465" s="34" t="n"/>
      <c r="M465" s="5" t="inlineStr">
        <is>
          <t>2018-11-06</t>
        </is>
      </c>
    </row>
    <row r="466">
      <c r="A466" s="5" t="inlineStr">
        <is>
          <t>history_finance</t>
        </is>
      </c>
      <c r="B466" s="5" t="n">
        <v>2018</v>
      </c>
      <c r="C466" s="5" t="inlineStr">
        <is>
          <t>Susan Wild</t>
        </is>
      </c>
      <c r="D466" s="5" t="inlineStr">
        <is>
          <t>DEM</t>
        </is>
      </c>
      <c r="E466" s="5" t="n"/>
      <c r="F466" s="5" t="n"/>
      <c r="G466" s="5" t="inlineStr">
        <is>
          <t>Disbursements</t>
        </is>
      </c>
      <c r="H466" s="5" t="n"/>
      <c r="I466" s="5" t="n"/>
      <c r="J466" s="5" t="n"/>
      <c r="K466" s="33" t="n">
        <v>3294280.32</v>
      </c>
      <c r="L466" s="34" t="n"/>
      <c r="M466" s="5" t="inlineStr">
        <is>
          <t>2018-11-06</t>
        </is>
      </c>
    </row>
    <row r="467">
      <c r="A467" s="5" t="inlineStr">
        <is>
          <t>history_finance</t>
        </is>
      </c>
      <c r="B467" s="5" t="n">
        <v>2018</v>
      </c>
      <c r="C467" s="5" t="inlineStr">
        <is>
          <t>Susan Wild</t>
        </is>
      </c>
      <c r="D467" s="5" t="inlineStr">
        <is>
          <t>DEM</t>
        </is>
      </c>
      <c r="E467" s="5" t="n"/>
      <c r="F467" s="5" t="n"/>
      <c r="G467" s="5" t="inlineStr">
        <is>
          <t>Cash on hand at year end</t>
        </is>
      </c>
      <c r="H467" s="5" t="n"/>
      <c r="I467" s="5" t="n"/>
      <c r="J467" s="5" t="n"/>
      <c r="K467" s="33" t="n">
        <v>25907.69</v>
      </c>
      <c r="L467" s="34" t="n"/>
      <c r="M467" s="5" t="inlineStr">
        <is>
          <t>2018-11-06</t>
        </is>
      </c>
    </row>
    <row r="468">
      <c r="A468" s="5" t="inlineStr">
        <is>
          <t>history_finance</t>
        </is>
      </c>
      <c r="B468" s="5" t="n">
        <v>2018</v>
      </c>
      <c r="C468" s="5" t="inlineStr">
        <is>
          <t>Susan Wild</t>
        </is>
      </c>
      <c r="D468" s="5" t="inlineStr">
        <is>
          <t>DEM</t>
        </is>
      </c>
      <c r="E468" s="5" t="n"/>
      <c r="F468" s="5" t="n"/>
      <c r="G468" s="5" t="inlineStr">
        <is>
          <t>Individual contributions</t>
        </is>
      </c>
      <c r="H468" s="5" t="n"/>
      <c r="I468" s="5" t="n"/>
      <c r="J468" s="5" t="n"/>
      <c r="K468" s="33" t="n">
        <v>2216364.61</v>
      </c>
      <c r="L468" s="34" t="n"/>
      <c r="M468" s="5" t="inlineStr">
        <is>
          <t>2018-11-06</t>
        </is>
      </c>
    </row>
    <row r="469">
      <c r="A469" s="5" t="inlineStr">
        <is>
          <t>history_finance</t>
        </is>
      </c>
      <c r="B469" s="5" t="n">
        <v>2018</v>
      </c>
      <c r="C469" s="5" t="inlineStr">
        <is>
          <t>Susan Wild</t>
        </is>
      </c>
      <c r="D469" s="5" t="inlineStr">
        <is>
          <t>DEM</t>
        </is>
      </c>
      <c r="E469" s="5" t="n"/>
      <c r="F469" s="5" t="n"/>
      <c r="G469" s="5" t="inlineStr">
        <is>
          <t>PAC contributions</t>
        </is>
      </c>
      <c r="H469" s="5" t="n"/>
      <c r="I469" s="5" t="n"/>
      <c r="J469" s="5" t="n"/>
      <c r="K469" s="33" t="n">
        <v>535757.8199999999</v>
      </c>
      <c r="L469" s="34" t="n"/>
      <c r="M469" s="5" t="inlineStr">
        <is>
          <t>2018-11-06</t>
        </is>
      </c>
    </row>
    <row r="470">
      <c r="A470" s="5" t="inlineStr">
        <is>
          <t>history_finance</t>
        </is>
      </c>
      <c r="B470" s="5" t="n">
        <v>2018</v>
      </c>
      <c r="C470" s="5" t="inlineStr">
        <is>
          <t>Susan Wild</t>
        </is>
      </c>
      <c r="D470" s="5" t="inlineStr">
        <is>
          <t>DEM</t>
        </is>
      </c>
      <c r="E470" s="5" t="n"/>
      <c r="F470" s="5" t="n"/>
      <c r="G470" s="5" t="inlineStr">
        <is>
          <t>Outside spending supporting</t>
        </is>
      </c>
      <c r="H470" s="5" t="n"/>
      <c r="I470" s="5" t="n"/>
      <c r="J470" s="5" t="n"/>
      <c r="K470" s="33" t="n">
        <v>558727.21</v>
      </c>
      <c r="L470" s="34" t="n"/>
      <c r="M470" s="5" t="inlineStr">
        <is>
          <t>2018-11-06</t>
        </is>
      </c>
    </row>
    <row r="471">
      <c r="A471" s="5" t="inlineStr">
        <is>
          <t>history_finance</t>
        </is>
      </c>
      <c r="B471" s="5" t="n">
        <v>2018</v>
      </c>
      <c r="C471" s="5" t="inlineStr">
        <is>
          <t>Susan Wild</t>
        </is>
      </c>
      <c r="D471" s="5" t="inlineStr">
        <is>
          <t>DEM</t>
        </is>
      </c>
      <c r="E471" s="5" t="n"/>
      <c r="F471" s="5" t="n"/>
      <c r="G471" s="5" t="inlineStr">
        <is>
          <t>Outside spending opposing</t>
        </is>
      </c>
      <c r="H471" s="5" t="n"/>
      <c r="I471" s="5" t="n"/>
      <c r="J471" s="5" t="n"/>
      <c r="K471" s="33" t="n">
        <v>221405.25</v>
      </c>
      <c r="L471" s="34" t="n"/>
      <c r="M471" s="5" t="inlineStr">
        <is>
          <t>2018-11-06</t>
        </is>
      </c>
    </row>
    <row r="472">
      <c r="A472" s="5" t="inlineStr">
        <is>
          <t>history_result</t>
        </is>
      </c>
      <c r="B472" s="5" t="n">
        <v>2018</v>
      </c>
      <c r="C472" s="5" t="inlineStr">
        <is>
          <t>Susan Wild</t>
        </is>
      </c>
      <c r="D472" s="5" t="inlineStr">
        <is>
          <t>DEM</t>
        </is>
      </c>
      <c r="E472" s="5" t="n"/>
      <c r="F472" s="5" t="n"/>
      <c r="G472" s="5" t="inlineStr">
        <is>
          <t>General election votes</t>
        </is>
      </c>
      <c r="H472" s="5" t="inlineStr">
        <is>
          <t>won</t>
        </is>
      </c>
      <c r="I472" s="5" t="n"/>
      <c r="J472" s="5" t="n"/>
      <c r="K472" s="33" t="n"/>
      <c r="L472" s="34" t="n">
        <v>140813</v>
      </c>
      <c r="M472" s="5" t="inlineStr">
        <is>
          <t>2018-11-06</t>
        </is>
      </c>
    </row>
    <row r="473">
      <c r="A473" s="5" t="inlineStr">
        <is>
          <t>history_finance</t>
        </is>
      </c>
      <c r="B473" s="5" t="n">
        <v>2018</v>
      </c>
      <c r="C473" s="5" t="inlineStr">
        <is>
          <t>Marty Nothstein</t>
        </is>
      </c>
      <c r="D473" s="5" t="inlineStr">
        <is>
          <t>REP</t>
        </is>
      </c>
      <c r="E473" s="5" t="n"/>
      <c r="F473" s="5" t="n"/>
      <c r="G473" s="5" t="inlineStr">
        <is>
          <t>Receipts</t>
        </is>
      </c>
      <c r="H473" s="5" t="n"/>
      <c r="I473" s="5" t="n"/>
      <c r="J473" s="5" t="n"/>
      <c r="K473" s="33" t="n">
        <v>985643.72</v>
      </c>
      <c r="L473" s="34" t="n"/>
      <c r="M473" s="5" t="inlineStr">
        <is>
          <t>2018-11-06</t>
        </is>
      </c>
    </row>
    <row r="474">
      <c r="A474" s="5" t="inlineStr">
        <is>
          <t>history_finance</t>
        </is>
      </c>
      <c r="B474" s="5" t="n">
        <v>2018</v>
      </c>
      <c r="C474" s="5" t="inlineStr">
        <is>
          <t>Marty Nothstein</t>
        </is>
      </c>
      <c r="D474" s="5" t="inlineStr">
        <is>
          <t>REP</t>
        </is>
      </c>
      <c r="E474" s="5" t="n"/>
      <c r="F474" s="5" t="n"/>
      <c r="G474" s="5" t="inlineStr">
        <is>
          <t>Disbursements</t>
        </is>
      </c>
      <c r="H474" s="5" t="n"/>
      <c r="I474" s="5" t="n"/>
      <c r="J474" s="5" t="n"/>
      <c r="K474" s="33" t="n">
        <v>958873.74</v>
      </c>
      <c r="L474" s="34" t="n"/>
      <c r="M474" s="5" t="inlineStr">
        <is>
          <t>2018-11-06</t>
        </is>
      </c>
    </row>
    <row r="475">
      <c r="A475" s="5" t="inlineStr">
        <is>
          <t>history_finance</t>
        </is>
      </c>
      <c r="B475" s="5" t="n">
        <v>2018</v>
      </c>
      <c r="C475" s="5" t="inlineStr">
        <is>
          <t>Marty Nothstein</t>
        </is>
      </c>
      <c r="D475" s="5" t="inlineStr">
        <is>
          <t>REP</t>
        </is>
      </c>
      <c r="E475" s="5" t="n"/>
      <c r="F475" s="5" t="n"/>
      <c r="G475" s="5" t="inlineStr">
        <is>
          <t>Cash on hand at year end</t>
        </is>
      </c>
      <c r="H475" s="5" t="n"/>
      <c r="I475" s="5" t="n"/>
      <c r="J475" s="5" t="n"/>
      <c r="K475" s="33" t="n">
        <v>26769.98</v>
      </c>
      <c r="L475" s="34" t="n"/>
      <c r="M475" s="5" t="inlineStr">
        <is>
          <t>2018-11-06</t>
        </is>
      </c>
    </row>
    <row r="476">
      <c r="A476" s="5" t="inlineStr">
        <is>
          <t>history_finance</t>
        </is>
      </c>
      <c r="B476" s="5" t="n">
        <v>2018</v>
      </c>
      <c r="C476" s="5" t="inlineStr">
        <is>
          <t>Marty Nothstein</t>
        </is>
      </c>
      <c r="D476" s="5" t="inlineStr">
        <is>
          <t>REP</t>
        </is>
      </c>
      <c r="E476" s="5" t="n"/>
      <c r="F476" s="5" t="n"/>
      <c r="G476" s="5" t="inlineStr">
        <is>
          <t>Individual contributions</t>
        </is>
      </c>
      <c r="H476" s="5" t="n"/>
      <c r="I476" s="5" t="n"/>
      <c r="J476" s="5" t="n"/>
      <c r="K476" s="33" t="n">
        <v>611185.92</v>
      </c>
      <c r="L476" s="34" t="n"/>
      <c r="M476" s="5" t="inlineStr">
        <is>
          <t>2018-11-06</t>
        </is>
      </c>
    </row>
    <row r="477">
      <c r="A477" s="5" t="inlineStr">
        <is>
          <t>history_finance</t>
        </is>
      </c>
      <c r="B477" s="5" t="n">
        <v>2018</v>
      </c>
      <c r="C477" s="5" t="inlineStr">
        <is>
          <t>Marty Nothstein</t>
        </is>
      </c>
      <c r="D477" s="5" t="inlineStr">
        <is>
          <t>REP</t>
        </is>
      </c>
      <c r="E477" s="5" t="n"/>
      <c r="F477" s="5" t="n"/>
      <c r="G477" s="5" t="inlineStr">
        <is>
          <t>PAC contributions</t>
        </is>
      </c>
      <c r="H477" s="5" t="n"/>
      <c r="I477" s="5" t="n"/>
      <c r="J477" s="5" t="n"/>
      <c r="K477" s="33" t="n">
        <v>223856.6</v>
      </c>
      <c r="L477" s="34" t="n"/>
      <c r="M477" s="5" t="inlineStr">
        <is>
          <t>2018-11-06</t>
        </is>
      </c>
    </row>
    <row r="478">
      <c r="A478" s="5" t="inlineStr">
        <is>
          <t>history_finance</t>
        </is>
      </c>
      <c r="B478" s="5" t="n">
        <v>2018</v>
      </c>
      <c r="C478" s="5" t="inlineStr">
        <is>
          <t>Marty Nothstein</t>
        </is>
      </c>
      <c r="D478" s="5" t="inlineStr">
        <is>
          <t>REP</t>
        </is>
      </c>
      <c r="E478" s="5" t="n"/>
      <c r="F478" s="5" t="n"/>
      <c r="G478" s="5" t="inlineStr">
        <is>
          <t>Outside spending supporting</t>
        </is>
      </c>
      <c r="H478" s="5" t="n"/>
      <c r="I478" s="5" t="n"/>
      <c r="J478" s="5" t="n"/>
      <c r="K478" s="33" t="n">
        <v>132142.37</v>
      </c>
      <c r="L478" s="34" t="n"/>
      <c r="M478" s="5" t="inlineStr">
        <is>
          <t>2018-11-06</t>
        </is>
      </c>
    </row>
    <row r="479">
      <c r="A479" s="5" t="inlineStr">
        <is>
          <t>history_finance</t>
        </is>
      </c>
      <c r="B479" s="5" t="n">
        <v>2018</v>
      </c>
      <c r="C479" s="5" t="inlineStr">
        <is>
          <t>Marty Nothstein</t>
        </is>
      </c>
      <c r="D479" s="5" t="inlineStr">
        <is>
          <t>REP</t>
        </is>
      </c>
      <c r="E479" s="5" t="n"/>
      <c r="F479" s="5" t="n"/>
      <c r="G479" s="5" t="inlineStr">
        <is>
          <t>Outside spending opposing</t>
        </is>
      </c>
      <c r="H479" s="5" t="n"/>
      <c r="I479" s="5" t="n"/>
      <c r="J479" s="5" t="n"/>
      <c r="K479" s="33" t="n">
        <v>1722119.87</v>
      </c>
      <c r="L479" s="34" t="n"/>
      <c r="M479" s="5" t="inlineStr">
        <is>
          <t>2018-11-06</t>
        </is>
      </c>
    </row>
    <row r="480">
      <c r="A480" s="5" t="inlineStr">
        <is>
          <t>history_result</t>
        </is>
      </c>
      <c r="B480" s="5" t="n">
        <v>2018</v>
      </c>
      <c r="C480" s="5" t="inlineStr">
        <is>
          <t>Marty Nothstein</t>
        </is>
      </c>
      <c r="D480" s="5" t="inlineStr">
        <is>
          <t>REP</t>
        </is>
      </c>
      <c r="E480" s="5" t="n"/>
      <c r="F480" s="5" t="n"/>
      <c r="G480" s="5" t="inlineStr">
        <is>
          <t>General election votes</t>
        </is>
      </c>
      <c r="H480" s="5" t="inlineStr">
        <is>
          <t>lost</t>
        </is>
      </c>
      <c r="I480" s="5" t="n"/>
      <c r="J480" s="5" t="n"/>
      <c r="K480" s="33" t="n"/>
      <c r="L480" s="34" t="n">
        <v>114437</v>
      </c>
      <c r="M480" s="5" t="inlineStr">
        <is>
          <t>2018-11-06</t>
        </is>
      </c>
    </row>
    <row r="481">
      <c r="A481" s="5" t="inlineStr">
        <is>
          <t>history_finance</t>
        </is>
      </c>
      <c r="B481" s="5" t="n">
        <v>2020</v>
      </c>
      <c r="C481" s="5" t="inlineStr">
        <is>
          <t>Susan Wild</t>
        </is>
      </c>
      <c r="D481" s="5" t="inlineStr">
        <is>
          <t>DEM</t>
        </is>
      </c>
      <c r="E481" s="5" t="n"/>
      <c r="F481" s="5" t="n"/>
      <c r="G481" s="5" t="inlineStr">
        <is>
          <t>Receipts</t>
        </is>
      </c>
      <c r="H481" s="5" t="n"/>
      <c r="I481" s="5" t="n"/>
      <c r="J481" s="5" t="n"/>
      <c r="K481" s="33" t="n">
        <v>4644289.9</v>
      </c>
      <c r="L481" s="34" t="n"/>
      <c r="M481" s="5" t="inlineStr">
        <is>
          <t>2020-11-03</t>
        </is>
      </c>
    </row>
    <row r="482">
      <c r="A482" s="5" t="inlineStr">
        <is>
          <t>history_finance</t>
        </is>
      </c>
      <c r="B482" s="5" t="n">
        <v>2020</v>
      </c>
      <c r="C482" s="5" t="inlineStr">
        <is>
          <t>Susan Wild</t>
        </is>
      </c>
      <c r="D482" s="5" t="inlineStr">
        <is>
          <t>DEM</t>
        </is>
      </c>
      <c r="E482" s="5" t="n"/>
      <c r="F482" s="5" t="n"/>
      <c r="G482" s="5" t="inlineStr">
        <is>
          <t>Disbursements</t>
        </is>
      </c>
      <c r="H482" s="5" t="n"/>
      <c r="I482" s="5" t="n"/>
      <c r="J482" s="5" t="n"/>
      <c r="K482" s="33" t="n">
        <v>4591501.23</v>
      </c>
      <c r="L482" s="34" t="n"/>
      <c r="M482" s="5" t="inlineStr">
        <is>
          <t>2020-11-03</t>
        </is>
      </c>
    </row>
    <row r="483">
      <c r="A483" s="5" t="inlineStr">
        <is>
          <t>history_finance</t>
        </is>
      </c>
      <c r="B483" s="5" t="n">
        <v>2020</v>
      </c>
      <c r="C483" s="5" t="inlineStr">
        <is>
          <t>Susan Wild</t>
        </is>
      </c>
      <c r="D483" s="5" t="inlineStr">
        <is>
          <t>DEM</t>
        </is>
      </c>
      <c r="E483" s="5" t="n"/>
      <c r="F483" s="5" t="n"/>
      <c r="G483" s="5" t="inlineStr">
        <is>
          <t>Cash on hand at year end</t>
        </is>
      </c>
      <c r="H483" s="5" t="n"/>
      <c r="I483" s="5" t="n"/>
      <c r="J483" s="5" t="n"/>
      <c r="K483" s="33" t="n">
        <v>78696.36</v>
      </c>
      <c r="L483" s="34" t="n"/>
      <c r="M483" s="5" t="inlineStr">
        <is>
          <t>2020-11-03</t>
        </is>
      </c>
    </row>
    <row r="484">
      <c r="A484" s="5" t="inlineStr">
        <is>
          <t>history_finance</t>
        </is>
      </c>
      <c r="B484" s="5" t="n">
        <v>2020</v>
      </c>
      <c r="C484" s="5" t="inlineStr">
        <is>
          <t>Susan Wild</t>
        </is>
      </c>
      <c r="D484" s="5" t="inlineStr">
        <is>
          <t>DEM</t>
        </is>
      </c>
      <c r="E484" s="5" t="n"/>
      <c r="F484" s="5" t="n"/>
      <c r="G484" s="5" t="inlineStr">
        <is>
          <t>Individual contributions</t>
        </is>
      </c>
      <c r="H484" s="5" t="n"/>
      <c r="I484" s="5" t="n"/>
      <c r="J484" s="5" t="n"/>
      <c r="K484" s="33" t="n">
        <v>3417373.86</v>
      </c>
      <c r="L484" s="34" t="n"/>
      <c r="M484" s="5" t="inlineStr">
        <is>
          <t>2020-11-03</t>
        </is>
      </c>
    </row>
    <row r="485">
      <c r="A485" s="5" t="inlineStr">
        <is>
          <t>history_finance</t>
        </is>
      </c>
      <c r="B485" s="5" t="n">
        <v>2020</v>
      </c>
      <c r="C485" s="5" t="inlineStr">
        <is>
          <t>Susan Wild</t>
        </is>
      </c>
      <c r="D485" s="5" t="inlineStr">
        <is>
          <t>DEM</t>
        </is>
      </c>
      <c r="E485" s="5" t="n"/>
      <c r="F485" s="5" t="n"/>
      <c r="G485" s="5" t="inlineStr">
        <is>
          <t>PAC contributions</t>
        </is>
      </c>
      <c r="H485" s="5" t="n"/>
      <c r="I485" s="5" t="n"/>
      <c r="J485" s="5" t="n"/>
      <c r="K485" s="33" t="n">
        <v>1027681.99</v>
      </c>
      <c r="L485" s="34" t="n"/>
      <c r="M485" s="5" t="inlineStr">
        <is>
          <t>2020-11-03</t>
        </is>
      </c>
    </row>
    <row r="486">
      <c r="A486" s="5" t="inlineStr">
        <is>
          <t>history_finance</t>
        </is>
      </c>
      <c r="B486" s="5" t="n">
        <v>2020</v>
      </c>
      <c r="C486" s="5" t="inlineStr">
        <is>
          <t>Susan Wild</t>
        </is>
      </c>
      <c r="D486" s="5" t="inlineStr">
        <is>
          <t>DEM</t>
        </is>
      </c>
      <c r="E486" s="5" t="n"/>
      <c r="F486" s="5" t="n"/>
      <c r="G486" s="5" t="inlineStr">
        <is>
          <t>Outside spending supporting</t>
        </is>
      </c>
      <c r="H486" s="5" t="n"/>
      <c r="I486" s="5" t="n"/>
      <c r="J486" s="5" t="n"/>
      <c r="K486" s="33" t="n">
        <v>50133.76</v>
      </c>
      <c r="L486" s="34" t="n"/>
      <c r="M486" s="5" t="inlineStr">
        <is>
          <t>2020-11-03</t>
        </is>
      </c>
    </row>
    <row r="487">
      <c r="A487" s="5" t="inlineStr">
        <is>
          <t>history_finance</t>
        </is>
      </c>
      <c r="B487" s="5" t="n">
        <v>2020</v>
      </c>
      <c r="C487" s="5" t="inlineStr">
        <is>
          <t>Susan Wild</t>
        </is>
      </c>
      <c r="D487" s="5" t="inlineStr">
        <is>
          <t>DEM</t>
        </is>
      </c>
      <c r="E487" s="5" t="n"/>
      <c r="F487" s="5" t="n"/>
      <c r="G487" s="5" t="inlineStr">
        <is>
          <t>Outside spending opposing</t>
        </is>
      </c>
      <c r="H487" s="5" t="n"/>
      <c r="I487" s="5" t="n"/>
      <c r="J487" s="5" t="n"/>
      <c r="K487" s="33" t="n">
        <v>127595.71</v>
      </c>
      <c r="L487" s="34" t="n"/>
      <c r="M487" s="5" t="inlineStr">
        <is>
          <t>2020-11-03</t>
        </is>
      </c>
    </row>
    <row r="488">
      <c r="A488" s="5" t="inlineStr">
        <is>
          <t>history_result</t>
        </is>
      </c>
      <c r="B488" s="5" t="n">
        <v>2020</v>
      </c>
      <c r="C488" s="5" t="inlineStr">
        <is>
          <t>Susan Wild</t>
        </is>
      </c>
      <c r="D488" s="5" t="inlineStr">
        <is>
          <t>DEM</t>
        </is>
      </c>
      <c r="E488" s="5" t="n"/>
      <c r="F488" s="5" t="n"/>
      <c r="G488" s="5" t="inlineStr">
        <is>
          <t>General election votes</t>
        </is>
      </c>
      <c r="H488" s="5" t="inlineStr">
        <is>
          <t>won</t>
        </is>
      </c>
      <c r="I488" s="5" t="n"/>
      <c r="J488" s="5" t="n"/>
      <c r="K488" s="33" t="n"/>
      <c r="L488" s="34" t="n">
        <v>195475</v>
      </c>
      <c r="M488" s="5" t="inlineStr">
        <is>
          <t>2020-11-03</t>
        </is>
      </c>
    </row>
    <row r="489">
      <c r="A489" s="5" t="inlineStr">
        <is>
          <t>history_finance</t>
        </is>
      </c>
      <c r="B489" s="5" t="n">
        <v>2020</v>
      </c>
      <c r="C489" s="5" t="inlineStr">
        <is>
          <t>Lisa Scheller</t>
        </is>
      </c>
      <c r="D489" s="5" t="inlineStr">
        <is>
          <t>REP</t>
        </is>
      </c>
      <c r="E489" s="5" t="n"/>
      <c r="F489" s="5" t="n"/>
      <c r="G489" s="5" t="inlineStr">
        <is>
          <t>Receipts</t>
        </is>
      </c>
      <c r="H489" s="5" t="n"/>
      <c r="I489" s="5" t="n"/>
      <c r="J489" s="5" t="n"/>
      <c r="K489" s="33" t="n">
        <v>3740779.05</v>
      </c>
      <c r="L489" s="34" t="n"/>
      <c r="M489" s="5" t="inlineStr">
        <is>
          <t>2020-11-03</t>
        </is>
      </c>
    </row>
    <row r="490">
      <c r="A490" s="5" t="inlineStr">
        <is>
          <t>history_finance</t>
        </is>
      </c>
      <c r="B490" s="5" t="n">
        <v>2020</v>
      </c>
      <c r="C490" s="5" t="inlineStr">
        <is>
          <t>Lisa Scheller</t>
        </is>
      </c>
      <c r="D490" s="5" t="inlineStr">
        <is>
          <t>REP</t>
        </is>
      </c>
      <c r="E490" s="5" t="n"/>
      <c r="F490" s="5" t="n"/>
      <c r="G490" s="5" t="inlineStr">
        <is>
          <t>Disbursements</t>
        </is>
      </c>
      <c r="H490" s="5" t="n"/>
      <c r="I490" s="5" t="n"/>
      <c r="J490" s="5" t="n"/>
      <c r="K490" s="33" t="n">
        <v>3661738.3</v>
      </c>
      <c r="L490" s="34" t="n"/>
      <c r="M490" s="5" t="inlineStr">
        <is>
          <t>2020-11-03</t>
        </is>
      </c>
    </row>
    <row r="491">
      <c r="A491" s="5" t="inlineStr">
        <is>
          <t>history_finance</t>
        </is>
      </c>
      <c r="B491" s="5" t="n">
        <v>2020</v>
      </c>
      <c r="C491" s="5" t="inlineStr">
        <is>
          <t>Lisa Scheller</t>
        </is>
      </c>
      <c r="D491" s="5" t="inlineStr">
        <is>
          <t>REP</t>
        </is>
      </c>
      <c r="E491" s="5" t="n"/>
      <c r="F491" s="5" t="n"/>
      <c r="G491" s="5" t="inlineStr">
        <is>
          <t>Cash on hand at year end</t>
        </is>
      </c>
      <c r="H491" s="5" t="n"/>
      <c r="I491" s="5" t="n"/>
      <c r="J491" s="5" t="n"/>
      <c r="K491" s="33" t="n">
        <v>79040.75</v>
      </c>
      <c r="L491" s="34" t="n"/>
      <c r="M491" s="5" t="inlineStr">
        <is>
          <t>2020-11-03</t>
        </is>
      </c>
    </row>
    <row r="492">
      <c r="A492" s="5" t="inlineStr">
        <is>
          <t>history_finance</t>
        </is>
      </c>
      <c r="B492" s="5" t="n">
        <v>2020</v>
      </c>
      <c r="C492" s="5" t="inlineStr">
        <is>
          <t>Lisa Scheller</t>
        </is>
      </c>
      <c r="D492" s="5" t="inlineStr">
        <is>
          <t>REP</t>
        </is>
      </c>
      <c r="E492" s="5" t="n"/>
      <c r="F492" s="5" t="n"/>
      <c r="G492" s="5" t="inlineStr">
        <is>
          <t>Individual contributions</t>
        </is>
      </c>
      <c r="H492" s="5" t="n"/>
      <c r="I492" s="5" t="n"/>
      <c r="J492" s="5" t="n"/>
      <c r="K492" s="33" t="n">
        <v>998798.1899999999</v>
      </c>
      <c r="L492" s="34" t="n"/>
      <c r="M492" s="5" t="inlineStr">
        <is>
          <t>2020-11-03</t>
        </is>
      </c>
    </row>
    <row r="493">
      <c r="A493" s="5" t="inlineStr">
        <is>
          <t>history_finance</t>
        </is>
      </c>
      <c r="B493" s="5" t="n">
        <v>2020</v>
      </c>
      <c r="C493" s="5" t="inlineStr">
        <is>
          <t>Lisa Scheller</t>
        </is>
      </c>
      <c r="D493" s="5" t="inlineStr">
        <is>
          <t>REP</t>
        </is>
      </c>
      <c r="E493" s="5" t="n"/>
      <c r="F493" s="5" t="n"/>
      <c r="G493" s="5" t="inlineStr">
        <is>
          <t>PAC contributions</t>
        </is>
      </c>
      <c r="H493" s="5" t="n"/>
      <c r="I493" s="5" t="n"/>
      <c r="J493" s="5" t="n"/>
      <c r="K493" s="33" t="n">
        <v>231174.7</v>
      </c>
      <c r="L493" s="34" t="n"/>
      <c r="M493" s="5" t="inlineStr">
        <is>
          <t>2020-11-03</t>
        </is>
      </c>
    </row>
    <row r="494">
      <c r="A494" s="5" t="inlineStr">
        <is>
          <t>history_finance</t>
        </is>
      </c>
      <c r="B494" s="5" t="n">
        <v>2020</v>
      </c>
      <c r="C494" s="5" t="inlineStr">
        <is>
          <t>Lisa Scheller</t>
        </is>
      </c>
      <c r="D494" s="5" t="inlineStr">
        <is>
          <t>REP</t>
        </is>
      </c>
      <c r="E494" s="5" t="n"/>
      <c r="F494" s="5" t="n"/>
      <c r="G494" s="5" t="inlineStr">
        <is>
          <t>Outside spending supporting</t>
        </is>
      </c>
      <c r="H494" s="5" t="n"/>
      <c r="I494" s="5" t="n"/>
      <c r="J494" s="5" t="n"/>
      <c r="K494" s="33" t="n">
        <v>600145.5600000001</v>
      </c>
      <c r="L494" s="34" t="n"/>
      <c r="M494" s="5" t="inlineStr">
        <is>
          <t>2020-11-03</t>
        </is>
      </c>
    </row>
    <row r="495">
      <c r="A495" s="5" t="inlineStr">
        <is>
          <t>history_finance</t>
        </is>
      </c>
      <c r="B495" s="5" t="n">
        <v>2020</v>
      </c>
      <c r="C495" s="5" t="inlineStr">
        <is>
          <t>Lisa Scheller</t>
        </is>
      </c>
      <c r="D495" s="5" t="inlineStr">
        <is>
          <t>REP</t>
        </is>
      </c>
      <c r="E495" s="5" t="n"/>
      <c r="F495" s="5" t="n"/>
      <c r="G495" s="5" t="inlineStr">
        <is>
          <t>Outside spending opposing</t>
        </is>
      </c>
      <c r="H495" s="5" t="n"/>
      <c r="I495" s="5" t="n"/>
      <c r="J495" s="5" t="n"/>
      <c r="K495" s="33" t="n">
        <v>1165.62</v>
      </c>
      <c r="L495" s="34" t="n"/>
      <c r="M495" s="5" t="inlineStr">
        <is>
          <t>2020-11-03</t>
        </is>
      </c>
    </row>
    <row r="496">
      <c r="A496" s="5" t="inlineStr">
        <is>
          <t>history_result</t>
        </is>
      </c>
      <c r="B496" s="5" t="n">
        <v>2020</v>
      </c>
      <c r="C496" s="5" t="inlineStr">
        <is>
          <t>Lisa Scheller</t>
        </is>
      </c>
      <c r="D496" s="5" t="inlineStr">
        <is>
          <t>REP</t>
        </is>
      </c>
      <c r="E496" s="5" t="n"/>
      <c r="F496" s="5" t="n"/>
      <c r="G496" s="5" t="inlineStr">
        <is>
          <t>General election votes</t>
        </is>
      </c>
      <c r="H496" s="5" t="inlineStr">
        <is>
          <t>lost</t>
        </is>
      </c>
      <c r="I496" s="5" t="n"/>
      <c r="J496" s="5" t="n"/>
      <c r="K496" s="33" t="n"/>
      <c r="L496" s="34" t="n">
        <v>181407</v>
      </c>
      <c r="M496" s="5" t="inlineStr">
        <is>
          <t>2020-11-03</t>
        </is>
      </c>
    </row>
    <row r="497">
      <c r="A497" s="5" t="inlineStr">
        <is>
          <t>history_finance</t>
        </is>
      </c>
      <c r="B497" s="5" t="n">
        <v>2022</v>
      </c>
      <c r="C497" s="5" t="inlineStr">
        <is>
          <t>Susan Wild</t>
        </is>
      </c>
      <c r="D497" s="5" t="inlineStr">
        <is>
          <t>DEM</t>
        </is>
      </c>
      <c r="E497" s="5" t="n"/>
      <c r="F497" s="5" t="n"/>
      <c r="G497" s="5" t="inlineStr">
        <is>
          <t>Receipts</t>
        </is>
      </c>
      <c r="H497" s="5" t="n"/>
      <c r="I497" s="5" t="n"/>
      <c r="J497" s="5" t="n"/>
      <c r="K497" s="33" t="n">
        <v>7002291.19</v>
      </c>
      <c r="L497" s="34" t="n"/>
      <c r="M497" s="5" t="inlineStr">
        <is>
          <t>2022-11-08</t>
        </is>
      </c>
    </row>
    <row r="498">
      <c r="A498" s="5" t="inlineStr">
        <is>
          <t>history_finance</t>
        </is>
      </c>
      <c r="B498" s="5" t="n">
        <v>2022</v>
      </c>
      <c r="C498" s="5" t="inlineStr">
        <is>
          <t>Susan Wild</t>
        </is>
      </c>
      <c r="D498" s="5" t="inlineStr">
        <is>
          <t>DEM</t>
        </is>
      </c>
      <c r="E498" s="5" t="n"/>
      <c r="F498" s="5" t="n"/>
      <c r="G498" s="5" t="inlineStr">
        <is>
          <t>Disbursements</t>
        </is>
      </c>
      <c r="H498" s="5" t="n"/>
      <c r="I498" s="5" t="n"/>
      <c r="J498" s="5" t="n"/>
      <c r="K498" s="33" t="n">
        <v>7027026.2</v>
      </c>
      <c r="L498" s="34" t="n"/>
      <c r="M498" s="5" t="inlineStr">
        <is>
          <t>2022-11-08</t>
        </is>
      </c>
    </row>
    <row r="499">
      <c r="A499" s="5" t="inlineStr">
        <is>
          <t>history_finance</t>
        </is>
      </c>
      <c r="B499" s="5" t="n">
        <v>2022</v>
      </c>
      <c r="C499" s="5" t="inlineStr">
        <is>
          <t>Susan Wild</t>
        </is>
      </c>
      <c r="D499" s="5" t="inlineStr">
        <is>
          <t>DEM</t>
        </is>
      </c>
      <c r="E499" s="5" t="n"/>
      <c r="F499" s="5" t="n"/>
      <c r="G499" s="5" t="inlineStr">
        <is>
          <t>Cash on hand at year end</t>
        </is>
      </c>
      <c r="H499" s="5" t="n"/>
      <c r="I499" s="5" t="n"/>
      <c r="J499" s="5" t="n"/>
      <c r="K499" s="33" t="n">
        <v>53961.35</v>
      </c>
      <c r="L499" s="34" t="n"/>
      <c r="M499" s="5" t="inlineStr">
        <is>
          <t>2022-11-08</t>
        </is>
      </c>
    </row>
    <row r="500">
      <c r="A500" s="5" t="inlineStr">
        <is>
          <t>history_finance</t>
        </is>
      </c>
      <c r="B500" s="5" t="n">
        <v>2022</v>
      </c>
      <c r="C500" s="5" t="inlineStr">
        <is>
          <t>Susan Wild</t>
        </is>
      </c>
      <c r="D500" s="5" t="inlineStr">
        <is>
          <t>DEM</t>
        </is>
      </c>
      <c r="E500" s="5" t="n"/>
      <c r="F500" s="5" t="n"/>
      <c r="G500" s="5" t="inlineStr">
        <is>
          <t>Individual contributions</t>
        </is>
      </c>
      <c r="H500" s="5" t="n"/>
      <c r="I500" s="5" t="n"/>
      <c r="J500" s="5" t="n"/>
      <c r="K500" s="33" t="n">
        <v>5366116.25</v>
      </c>
      <c r="L500" s="34" t="n"/>
      <c r="M500" s="5" t="inlineStr">
        <is>
          <t>2022-11-08</t>
        </is>
      </c>
    </row>
    <row r="501">
      <c r="A501" s="5" t="inlineStr">
        <is>
          <t>history_finance</t>
        </is>
      </c>
      <c r="B501" s="5" t="n">
        <v>2022</v>
      </c>
      <c r="C501" s="5" t="inlineStr">
        <is>
          <t>Susan Wild</t>
        </is>
      </c>
      <c r="D501" s="5" t="inlineStr">
        <is>
          <t>DEM</t>
        </is>
      </c>
      <c r="E501" s="5" t="n"/>
      <c r="F501" s="5" t="n"/>
      <c r="G501" s="5" t="inlineStr">
        <is>
          <t>PAC contributions</t>
        </is>
      </c>
      <c r="H501" s="5" t="n"/>
      <c r="I501" s="5" t="n"/>
      <c r="J501" s="5" t="n"/>
      <c r="K501" s="33" t="n">
        <v>1279735.82</v>
      </c>
      <c r="L501" s="34" t="n"/>
      <c r="M501" s="5" t="inlineStr">
        <is>
          <t>2022-11-08</t>
        </is>
      </c>
    </row>
    <row r="502">
      <c r="A502" s="5" t="inlineStr">
        <is>
          <t>history_finance</t>
        </is>
      </c>
      <c r="B502" s="5" t="n">
        <v>2022</v>
      </c>
      <c r="C502" s="5" t="inlineStr">
        <is>
          <t>Susan Wild</t>
        </is>
      </c>
      <c r="D502" s="5" t="inlineStr">
        <is>
          <t>DEM</t>
        </is>
      </c>
      <c r="E502" s="5" t="n"/>
      <c r="F502" s="5" t="n"/>
      <c r="G502" s="5" t="inlineStr">
        <is>
          <t>Outside spending supporting</t>
        </is>
      </c>
      <c r="H502" s="5" t="n"/>
      <c r="I502" s="5" t="n"/>
      <c r="J502" s="5" t="n"/>
      <c r="K502" s="33" t="n">
        <v>655273.84</v>
      </c>
      <c r="L502" s="34" t="n"/>
      <c r="M502" s="5" t="inlineStr">
        <is>
          <t>2022-11-08</t>
        </is>
      </c>
    </row>
    <row r="503">
      <c r="A503" s="5" t="inlineStr">
        <is>
          <t>history_finance</t>
        </is>
      </c>
      <c r="B503" s="5" t="n">
        <v>2022</v>
      </c>
      <c r="C503" s="5" t="inlineStr">
        <is>
          <t>Susan Wild</t>
        </is>
      </c>
      <c r="D503" s="5" t="inlineStr">
        <is>
          <t>DEM</t>
        </is>
      </c>
      <c r="E503" s="5" t="n"/>
      <c r="F503" s="5" t="n"/>
      <c r="G503" s="5" t="inlineStr">
        <is>
          <t>Outside spending opposing</t>
        </is>
      </c>
      <c r="H503" s="5" t="n"/>
      <c r="I503" s="5" t="n"/>
      <c r="J503" s="5" t="n"/>
      <c r="K503" s="33" t="n">
        <v>10853652.49</v>
      </c>
      <c r="L503" s="34" t="n"/>
      <c r="M503" s="5" t="inlineStr">
        <is>
          <t>2022-11-08</t>
        </is>
      </c>
    </row>
    <row r="504">
      <c r="A504" s="5" t="inlineStr">
        <is>
          <t>history_result</t>
        </is>
      </c>
      <c r="B504" s="5" t="n">
        <v>2022</v>
      </c>
      <c r="C504" s="5" t="inlineStr">
        <is>
          <t>Susan Wild</t>
        </is>
      </c>
      <c r="D504" s="5" t="inlineStr">
        <is>
          <t>DEM</t>
        </is>
      </c>
      <c r="E504" s="5" t="n"/>
      <c r="F504" s="5" t="n"/>
      <c r="G504" s="5" t="inlineStr">
        <is>
          <t>General election votes</t>
        </is>
      </c>
      <c r="H504" s="5" t="inlineStr">
        <is>
          <t>won</t>
        </is>
      </c>
      <c r="I504" s="5" t="n"/>
      <c r="J504" s="5" t="n"/>
      <c r="K504" s="33" t="n"/>
      <c r="L504" s="34" t="n">
        <v>151364</v>
      </c>
      <c r="M504" s="5" t="inlineStr">
        <is>
          <t>2022-11-08</t>
        </is>
      </c>
    </row>
    <row r="505">
      <c r="A505" s="5" t="inlineStr">
        <is>
          <t>history_finance</t>
        </is>
      </c>
      <c r="B505" s="5" t="n">
        <v>2022</v>
      </c>
      <c r="C505" s="5" t="inlineStr">
        <is>
          <t>Lisa Scheller</t>
        </is>
      </c>
      <c r="D505" s="5" t="inlineStr">
        <is>
          <t>REP</t>
        </is>
      </c>
      <c r="E505" s="5" t="n"/>
      <c r="F505" s="5" t="n"/>
      <c r="G505" s="5" t="inlineStr">
        <is>
          <t>Receipts</t>
        </is>
      </c>
      <c r="H505" s="5" t="n"/>
      <c r="I505" s="5" t="n"/>
      <c r="J505" s="5" t="n"/>
      <c r="K505" s="33" t="n">
        <v>6354578.69</v>
      </c>
      <c r="L505" s="34" t="n"/>
      <c r="M505" s="5" t="inlineStr">
        <is>
          <t>2022-11-08</t>
        </is>
      </c>
    </row>
    <row r="506">
      <c r="A506" s="5" t="inlineStr">
        <is>
          <t>history_finance</t>
        </is>
      </c>
      <c r="B506" s="5" t="n">
        <v>2022</v>
      </c>
      <c r="C506" s="5" t="inlineStr">
        <is>
          <t>Lisa Scheller</t>
        </is>
      </c>
      <c r="D506" s="5" t="inlineStr">
        <is>
          <t>REP</t>
        </is>
      </c>
      <c r="E506" s="5" t="n"/>
      <c r="F506" s="5" t="n"/>
      <c r="G506" s="5" t="inlineStr">
        <is>
          <t>Disbursements</t>
        </is>
      </c>
      <c r="H506" s="5" t="n"/>
      <c r="I506" s="5" t="n"/>
      <c r="J506" s="5" t="n"/>
      <c r="K506" s="33" t="n">
        <v>6432421.56</v>
      </c>
      <c r="L506" s="34" t="n"/>
      <c r="M506" s="5" t="inlineStr">
        <is>
          <t>2022-11-08</t>
        </is>
      </c>
    </row>
    <row r="507">
      <c r="A507" s="5" t="inlineStr">
        <is>
          <t>history_finance</t>
        </is>
      </c>
      <c r="B507" s="5" t="n">
        <v>2022</v>
      </c>
      <c r="C507" s="5" t="inlineStr">
        <is>
          <t>Lisa Scheller</t>
        </is>
      </c>
      <c r="D507" s="5" t="inlineStr">
        <is>
          <t>REP</t>
        </is>
      </c>
      <c r="E507" s="5" t="n"/>
      <c r="F507" s="5" t="n"/>
      <c r="G507" s="5" t="inlineStr">
        <is>
          <t>Cash on hand at year end</t>
        </is>
      </c>
      <c r="H507" s="5" t="n"/>
      <c r="I507" s="5" t="n"/>
      <c r="J507" s="5" t="n"/>
      <c r="K507" s="33" t="n">
        <v>2737.49</v>
      </c>
      <c r="L507" s="34" t="n"/>
      <c r="M507" s="5" t="inlineStr">
        <is>
          <t>2022-11-08</t>
        </is>
      </c>
    </row>
    <row r="508">
      <c r="A508" s="5" t="inlineStr">
        <is>
          <t>history_finance</t>
        </is>
      </c>
      <c r="B508" s="5" t="n">
        <v>2022</v>
      </c>
      <c r="C508" s="5" t="inlineStr">
        <is>
          <t>Lisa Scheller</t>
        </is>
      </c>
      <c r="D508" s="5" t="inlineStr">
        <is>
          <t>REP</t>
        </is>
      </c>
      <c r="E508" s="5" t="n"/>
      <c r="F508" s="5" t="n"/>
      <c r="G508" s="5" t="inlineStr">
        <is>
          <t>Individual contributions</t>
        </is>
      </c>
      <c r="H508" s="5" t="n"/>
      <c r="I508" s="5" t="n"/>
      <c r="J508" s="5" t="n"/>
      <c r="K508" s="33" t="n">
        <v>2381481.34</v>
      </c>
      <c r="L508" s="34" t="n"/>
      <c r="M508" s="5" t="inlineStr">
        <is>
          <t>2022-11-08</t>
        </is>
      </c>
    </row>
    <row r="509">
      <c r="A509" s="5" t="inlineStr">
        <is>
          <t>history_finance</t>
        </is>
      </c>
      <c r="B509" s="5" t="n">
        <v>2022</v>
      </c>
      <c r="C509" s="5" t="inlineStr">
        <is>
          <t>Lisa Scheller</t>
        </is>
      </c>
      <c r="D509" s="5" t="inlineStr">
        <is>
          <t>REP</t>
        </is>
      </c>
      <c r="E509" s="5" t="n"/>
      <c r="F509" s="5" t="n"/>
      <c r="G509" s="5" t="inlineStr">
        <is>
          <t>PAC contributions</t>
        </is>
      </c>
      <c r="H509" s="5" t="n"/>
      <c r="I509" s="5" t="n"/>
      <c r="J509" s="5" t="n"/>
      <c r="K509" s="33" t="n">
        <v>514762</v>
      </c>
      <c r="L509" s="34" t="n"/>
      <c r="M509" s="5" t="inlineStr">
        <is>
          <t>2022-11-08</t>
        </is>
      </c>
    </row>
    <row r="510">
      <c r="A510" s="5" t="inlineStr">
        <is>
          <t>history_finance</t>
        </is>
      </c>
      <c r="B510" s="5" t="n">
        <v>2022</v>
      </c>
      <c r="C510" s="5" t="inlineStr">
        <is>
          <t>Lisa Scheller</t>
        </is>
      </c>
      <c r="D510" s="5" t="inlineStr">
        <is>
          <t>REP</t>
        </is>
      </c>
      <c r="E510" s="5" t="n"/>
      <c r="F510" s="5" t="n"/>
      <c r="G510" s="5" t="inlineStr">
        <is>
          <t>Outside spending supporting</t>
        </is>
      </c>
      <c r="H510" s="5" t="n"/>
      <c r="I510" s="5" t="n"/>
      <c r="J510" s="5" t="n"/>
      <c r="K510" s="33" t="n">
        <v>23268.88</v>
      </c>
      <c r="L510" s="34" t="n"/>
      <c r="M510" s="5" t="inlineStr">
        <is>
          <t>2022-11-08</t>
        </is>
      </c>
    </row>
    <row r="511">
      <c r="A511" s="5" t="inlineStr">
        <is>
          <t>history_finance</t>
        </is>
      </c>
      <c r="B511" s="5" t="n">
        <v>2022</v>
      </c>
      <c r="C511" s="5" t="inlineStr">
        <is>
          <t>Lisa Scheller</t>
        </is>
      </c>
      <c r="D511" s="5" t="inlineStr">
        <is>
          <t>REP</t>
        </is>
      </c>
      <c r="E511" s="5" t="n"/>
      <c r="F511" s="5" t="n"/>
      <c r="G511" s="5" t="inlineStr">
        <is>
          <t>Outside spending opposing</t>
        </is>
      </c>
      <c r="H511" s="5" t="n"/>
      <c r="I511" s="5" t="n"/>
      <c r="J511" s="5" t="n"/>
      <c r="K511" s="33" t="n">
        <v>8764085.75</v>
      </c>
      <c r="L511" s="34" t="n"/>
      <c r="M511" s="5" t="inlineStr">
        <is>
          <t>2022-11-08</t>
        </is>
      </c>
    </row>
    <row r="512">
      <c r="A512" s="5" t="inlineStr">
        <is>
          <t>history_result</t>
        </is>
      </c>
      <c r="B512" s="5" t="n">
        <v>2022</v>
      </c>
      <c r="C512" s="5" t="inlineStr">
        <is>
          <t>Lisa Scheller</t>
        </is>
      </c>
      <c r="D512" s="5" t="inlineStr">
        <is>
          <t>REP</t>
        </is>
      </c>
      <c r="E512" s="5" t="n"/>
      <c r="F512" s="5" t="n"/>
      <c r="G512" s="5" t="inlineStr">
        <is>
          <t>General election votes</t>
        </is>
      </c>
      <c r="H512" s="5" t="inlineStr">
        <is>
          <t>lost</t>
        </is>
      </c>
      <c r="I512" s="5" t="n"/>
      <c r="J512" s="5" t="n"/>
      <c r="K512" s="33" t="n"/>
      <c r="L512" s="34" t="n">
        <v>145527</v>
      </c>
      <c r="M512" s="5" t="inlineStr">
        <is>
          <t>2022-11-08</t>
        </is>
      </c>
    </row>
    <row r="513">
      <c r="A513" s="5" t="inlineStr">
        <is>
          <t>history_finance</t>
        </is>
      </c>
      <c r="B513" s="5" t="n">
        <v>2024</v>
      </c>
      <c r="C513" s="5" t="inlineStr">
        <is>
          <t>Susan Wild</t>
        </is>
      </c>
      <c r="D513" s="5" t="inlineStr">
        <is>
          <t>DEM</t>
        </is>
      </c>
      <c r="E513" s="5" t="n"/>
      <c r="F513" s="5" t="n"/>
      <c r="G513" s="5" t="inlineStr">
        <is>
          <t>Receipts</t>
        </is>
      </c>
      <c r="H513" s="5" t="n"/>
      <c r="I513" s="5" t="n"/>
      <c r="J513" s="5" t="n"/>
      <c r="K513" s="33" t="n">
        <v>8960927.65</v>
      </c>
      <c r="L513" s="34" t="n"/>
      <c r="M513" s="5" t="inlineStr">
        <is>
          <t>2024-11-05</t>
        </is>
      </c>
    </row>
    <row r="514">
      <c r="A514" s="5" t="inlineStr">
        <is>
          <t>history_finance</t>
        </is>
      </c>
      <c r="B514" s="5" t="n">
        <v>2024</v>
      </c>
      <c r="C514" s="5" t="inlineStr">
        <is>
          <t>Susan Wild</t>
        </is>
      </c>
      <c r="D514" s="5" t="inlineStr">
        <is>
          <t>DEM</t>
        </is>
      </c>
      <c r="E514" s="5" t="n"/>
      <c r="F514" s="5" t="n"/>
      <c r="G514" s="5" t="inlineStr">
        <is>
          <t>Disbursements</t>
        </is>
      </c>
      <c r="H514" s="5" t="n"/>
      <c r="I514" s="5" t="n"/>
      <c r="J514" s="5" t="n"/>
      <c r="K514" s="33" t="n">
        <v>8946230</v>
      </c>
      <c r="L514" s="34" t="n"/>
      <c r="M514" s="5" t="inlineStr">
        <is>
          <t>2024-11-05</t>
        </is>
      </c>
    </row>
    <row r="515">
      <c r="A515" s="5" t="inlineStr">
        <is>
          <t>history_finance</t>
        </is>
      </c>
      <c r="B515" s="5" t="n">
        <v>2024</v>
      </c>
      <c r="C515" s="5" t="inlineStr">
        <is>
          <t>Susan Wild</t>
        </is>
      </c>
      <c r="D515" s="5" t="inlineStr">
        <is>
          <t>DEM</t>
        </is>
      </c>
      <c r="E515" s="5" t="n"/>
      <c r="F515" s="5" t="n"/>
      <c r="G515" s="5" t="inlineStr">
        <is>
          <t>Cash on hand at year end</t>
        </is>
      </c>
      <c r="H515" s="5" t="n"/>
      <c r="I515" s="5" t="n"/>
      <c r="J515" s="5" t="n"/>
      <c r="K515" s="33" t="n">
        <v>68659</v>
      </c>
      <c r="L515" s="34" t="n"/>
      <c r="M515" s="5" t="inlineStr">
        <is>
          <t>2024-11-05</t>
        </is>
      </c>
    </row>
    <row r="516">
      <c r="A516" s="5" t="inlineStr">
        <is>
          <t>history_finance</t>
        </is>
      </c>
      <c r="B516" s="5" t="n">
        <v>2024</v>
      </c>
      <c r="C516" s="5" t="inlineStr">
        <is>
          <t>Susan Wild</t>
        </is>
      </c>
      <c r="D516" s="5" t="inlineStr">
        <is>
          <t>DEM</t>
        </is>
      </c>
      <c r="E516" s="5" t="n"/>
      <c r="F516" s="5" t="n"/>
      <c r="G516" s="5" t="inlineStr">
        <is>
          <t>Individual contributions</t>
        </is>
      </c>
      <c r="H516" s="5" t="n"/>
      <c r="I516" s="5" t="n"/>
      <c r="J516" s="5" t="n"/>
      <c r="K516" s="33" t="n">
        <v>6604896.42</v>
      </c>
      <c r="L516" s="34" t="n"/>
      <c r="M516" s="5" t="inlineStr">
        <is>
          <t>2024-11-05</t>
        </is>
      </c>
    </row>
    <row r="517">
      <c r="A517" s="5" t="inlineStr">
        <is>
          <t>history_finance</t>
        </is>
      </c>
      <c r="B517" s="5" t="n">
        <v>2024</v>
      </c>
      <c r="C517" s="5" t="inlineStr">
        <is>
          <t>Susan Wild</t>
        </is>
      </c>
      <c r="D517" s="5" t="inlineStr">
        <is>
          <t>DEM</t>
        </is>
      </c>
      <c r="E517" s="5" t="n"/>
      <c r="F517" s="5" t="n"/>
      <c r="G517" s="5" t="inlineStr">
        <is>
          <t>PAC contributions</t>
        </is>
      </c>
      <c r="H517" s="5" t="n"/>
      <c r="I517" s="5" t="n"/>
      <c r="J517" s="5" t="n"/>
      <c r="K517" s="33" t="n">
        <v>1393265.46</v>
      </c>
      <c r="L517" s="34" t="n"/>
      <c r="M517" s="5" t="inlineStr">
        <is>
          <t>2024-11-05</t>
        </is>
      </c>
    </row>
    <row r="518">
      <c r="A518" s="5" t="inlineStr">
        <is>
          <t>history_finance</t>
        </is>
      </c>
      <c r="B518" s="5" t="n">
        <v>2024</v>
      </c>
      <c r="C518" s="5" t="inlineStr">
        <is>
          <t>Susan Wild</t>
        </is>
      </c>
      <c r="D518" s="5" t="inlineStr">
        <is>
          <t>DEM</t>
        </is>
      </c>
      <c r="E518" s="5" t="n"/>
      <c r="F518" s="5" t="n"/>
      <c r="G518" s="5" t="inlineStr">
        <is>
          <t>Outside spending supporting</t>
        </is>
      </c>
      <c r="H518" s="5" t="n"/>
      <c r="I518" s="5" t="n"/>
      <c r="J518" s="5" t="n"/>
      <c r="K518" s="33" t="n">
        <v>4568368.78</v>
      </c>
      <c r="L518" s="34" t="n"/>
      <c r="M518" s="5" t="inlineStr">
        <is>
          <t>2024-11-05</t>
        </is>
      </c>
    </row>
    <row r="519">
      <c r="A519" s="5" t="inlineStr">
        <is>
          <t>history_finance</t>
        </is>
      </c>
      <c r="B519" s="5" t="n">
        <v>2024</v>
      </c>
      <c r="C519" s="5" t="inlineStr">
        <is>
          <t>Susan Wild</t>
        </is>
      </c>
      <c r="D519" s="5" t="inlineStr">
        <is>
          <t>DEM</t>
        </is>
      </c>
      <c r="E519" s="5" t="n"/>
      <c r="F519" s="5" t="n"/>
      <c r="G519" s="5" t="inlineStr">
        <is>
          <t>Outside spending opposing</t>
        </is>
      </c>
      <c r="H519" s="5" t="n"/>
      <c r="I519" s="5" t="n"/>
      <c r="J519" s="5" t="n"/>
      <c r="K519" s="33" t="n">
        <v>10424863.22</v>
      </c>
      <c r="L519" s="34" t="n"/>
      <c r="M519" s="5" t="inlineStr">
        <is>
          <t>2024-11-05</t>
        </is>
      </c>
    </row>
    <row r="520">
      <c r="A520" s="5" t="inlineStr">
        <is>
          <t>history_result</t>
        </is>
      </c>
      <c r="B520" s="5" t="n">
        <v>2024</v>
      </c>
      <c r="C520" s="5" t="inlineStr">
        <is>
          <t>Susan Wild</t>
        </is>
      </c>
      <c r="D520" s="5" t="inlineStr">
        <is>
          <t>DEM</t>
        </is>
      </c>
      <c r="E520" s="5" t="n"/>
      <c r="F520" s="5" t="n"/>
      <c r="G520" s="5" t="inlineStr">
        <is>
          <t>General election votes</t>
        </is>
      </c>
      <c r="H520" s="5" t="inlineStr">
        <is>
          <t>lost</t>
        </is>
      </c>
      <c r="I520" s="5" t="n"/>
      <c r="J520" s="5" t="n"/>
      <c r="K520" s="33" t="n"/>
      <c r="L520" s="34" t="n">
        <v>199626</v>
      </c>
      <c r="M520" s="5" t="inlineStr">
        <is>
          <t>2024-11-05</t>
        </is>
      </c>
    </row>
    <row r="521">
      <c r="A521" s="5" t="inlineStr">
        <is>
          <t>history_finance</t>
        </is>
      </c>
      <c r="B521" s="5" t="n">
        <v>2024</v>
      </c>
      <c r="C521" s="5" t="inlineStr">
        <is>
          <t>Ryan Mackenzie</t>
        </is>
      </c>
      <c r="D521" s="5" t="inlineStr">
        <is>
          <t>REP</t>
        </is>
      </c>
      <c r="E521" s="5" t="n"/>
      <c r="F521" s="5" t="n"/>
      <c r="G521" s="5" t="inlineStr">
        <is>
          <t>Receipts</t>
        </is>
      </c>
      <c r="H521" s="5" t="n"/>
      <c r="I521" s="5" t="n"/>
      <c r="J521" s="5" t="n"/>
      <c r="K521" s="33" t="n">
        <v>1818407.11</v>
      </c>
      <c r="L521" s="34" t="n"/>
      <c r="M521" s="5" t="inlineStr">
        <is>
          <t>2024-11-05</t>
        </is>
      </c>
    </row>
    <row r="522">
      <c r="A522" s="5" t="inlineStr">
        <is>
          <t>history_finance</t>
        </is>
      </c>
      <c r="B522" s="5" t="n">
        <v>2024</v>
      </c>
      <c r="C522" s="5" t="inlineStr">
        <is>
          <t>Ryan Mackenzie</t>
        </is>
      </c>
      <c r="D522" s="5" t="inlineStr">
        <is>
          <t>REP</t>
        </is>
      </c>
      <c r="E522" s="5" t="n"/>
      <c r="F522" s="5" t="n"/>
      <c r="G522" s="5" t="inlineStr">
        <is>
          <t>Disbursements</t>
        </is>
      </c>
      <c r="H522" s="5" t="n"/>
      <c r="I522" s="5" t="n"/>
      <c r="J522" s="5" t="n"/>
      <c r="K522" s="33" t="n">
        <v>1715167.2</v>
      </c>
      <c r="L522" s="34" t="n"/>
      <c r="M522" s="5" t="inlineStr">
        <is>
          <t>2024-11-05</t>
        </is>
      </c>
    </row>
    <row r="523">
      <c r="A523" s="5" t="inlineStr">
        <is>
          <t>history_finance</t>
        </is>
      </c>
      <c r="B523" s="5" t="n">
        <v>2024</v>
      </c>
      <c r="C523" s="5" t="inlineStr">
        <is>
          <t>Ryan Mackenzie</t>
        </is>
      </c>
      <c r="D523" s="5" t="inlineStr">
        <is>
          <t>REP</t>
        </is>
      </c>
      <c r="E523" s="5" t="n"/>
      <c r="F523" s="5" t="n"/>
      <c r="G523" s="5" t="inlineStr">
        <is>
          <t>Cash on hand at year end</t>
        </is>
      </c>
      <c r="H523" s="5" t="n"/>
      <c r="I523" s="5" t="n"/>
      <c r="J523" s="5" t="n"/>
      <c r="K523" s="33" t="n">
        <v>103239.91</v>
      </c>
      <c r="L523" s="34" t="n"/>
      <c r="M523" s="5" t="inlineStr">
        <is>
          <t>2024-11-05</t>
        </is>
      </c>
    </row>
    <row r="524">
      <c r="A524" s="5" t="inlineStr">
        <is>
          <t>history_finance</t>
        </is>
      </c>
      <c r="B524" s="5" t="n">
        <v>2024</v>
      </c>
      <c r="C524" s="5" t="inlineStr">
        <is>
          <t>Ryan Mackenzie</t>
        </is>
      </c>
      <c r="D524" s="5" t="inlineStr">
        <is>
          <t>REP</t>
        </is>
      </c>
      <c r="E524" s="5" t="n"/>
      <c r="F524" s="5" t="n"/>
      <c r="G524" s="5" t="inlineStr">
        <is>
          <t>Individual contributions</t>
        </is>
      </c>
      <c r="H524" s="5" t="n"/>
      <c r="I524" s="5" t="n"/>
      <c r="J524" s="5" t="n"/>
      <c r="K524" s="33" t="n">
        <v>886645.14</v>
      </c>
      <c r="L524" s="34" t="n"/>
      <c r="M524" s="5" t="inlineStr">
        <is>
          <t>2024-11-05</t>
        </is>
      </c>
    </row>
    <row r="525">
      <c r="A525" s="5" t="inlineStr">
        <is>
          <t>history_finance</t>
        </is>
      </c>
      <c r="B525" s="5" t="n">
        <v>2024</v>
      </c>
      <c r="C525" s="5" t="inlineStr">
        <is>
          <t>Ryan Mackenzie</t>
        </is>
      </c>
      <c r="D525" s="5" t="inlineStr">
        <is>
          <t>REP</t>
        </is>
      </c>
      <c r="E525" s="5" t="n"/>
      <c r="F525" s="5" t="n"/>
      <c r="G525" s="5" t="inlineStr">
        <is>
          <t>PAC contributions</t>
        </is>
      </c>
      <c r="H525" s="5" t="n"/>
      <c r="I525" s="5" t="n"/>
      <c r="J525" s="5" t="n"/>
      <c r="K525" s="33" t="n">
        <v>419249.05</v>
      </c>
      <c r="L525" s="34" t="n"/>
      <c r="M525" s="5" t="inlineStr">
        <is>
          <t>2024-11-05</t>
        </is>
      </c>
    </row>
    <row r="526">
      <c r="A526" s="5" t="inlineStr">
        <is>
          <t>history_finance</t>
        </is>
      </c>
      <c r="B526" s="5" t="n">
        <v>2024</v>
      </c>
      <c r="C526" s="5" t="inlineStr">
        <is>
          <t>Ryan Mackenzie</t>
        </is>
      </c>
      <c r="D526" s="5" t="inlineStr">
        <is>
          <t>REP</t>
        </is>
      </c>
      <c r="E526" s="5" t="n"/>
      <c r="F526" s="5" t="n"/>
      <c r="G526" s="5" t="inlineStr">
        <is>
          <t>Outside spending supporting</t>
        </is>
      </c>
      <c r="H526" s="5" t="n"/>
      <c r="I526" s="5" t="n"/>
      <c r="J526" s="5" t="n"/>
      <c r="K526" s="33" t="n">
        <v>1333061.79</v>
      </c>
      <c r="L526" s="34" t="n"/>
      <c r="M526" s="5" t="inlineStr">
        <is>
          <t>2024-11-05</t>
        </is>
      </c>
    </row>
    <row r="527">
      <c r="A527" s="5" t="inlineStr">
        <is>
          <t>history_finance</t>
        </is>
      </c>
      <c r="B527" s="5" t="n">
        <v>2024</v>
      </c>
      <c r="C527" s="5" t="inlineStr">
        <is>
          <t>Ryan Mackenzie</t>
        </is>
      </c>
      <c r="D527" s="5" t="inlineStr">
        <is>
          <t>REP</t>
        </is>
      </c>
      <c r="E527" s="5" t="n"/>
      <c r="F527" s="5" t="n"/>
      <c r="G527" s="5" t="inlineStr">
        <is>
          <t>Outside spending opposing</t>
        </is>
      </c>
      <c r="H527" s="5" t="n"/>
      <c r="I527" s="5" t="n"/>
      <c r="J527" s="5" t="n"/>
      <c r="K527" s="33" t="n">
        <v>9962854.130000001</v>
      </c>
      <c r="L527" s="34" t="n"/>
      <c r="M527" s="5" t="inlineStr">
        <is>
          <t>2024-11-05</t>
        </is>
      </c>
    </row>
    <row r="528">
      <c r="A528" s="5" t="inlineStr">
        <is>
          <t>history_result</t>
        </is>
      </c>
      <c r="B528" s="5" t="n">
        <v>2024</v>
      </c>
      <c r="C528" s="5" t="inlineStr">
        <is>
          <t>Ryan Mackenzie</t>
        </is>
      </c>
      <c r="D528" s="5" t="inlineStr">
        <is>
          <t>REP</t>
        </is>
      </c>
      <c r="E528" s="5" t="n"/>
      <c r="F528" s="5" t="n"/>
      <c r="G528" s="5" t="inlineStr">
        <is>
          <t>General election votes</t>
        </is>
      </c>
      <c r="H528" s="5" t="inlineStr">
        <is>
          <t>won</t>
        </is>
      </c>
      <c r="I528" s="5" t="n"/>
      <c r="J528" s="5" t="n"/>
      <c r="K528" s="33" t="n"/>
      <c r="L528" s="34" t="n">
        <v>203688</v>
      </c>
      <c r="M528" s="5" t="inlineStr">
        <is>
          <t>2024-11-05</t>
        </is>
      </c>
    </row>
  </sheetData>
  <autoFilter ref="A4:M528"/>
  <pageMargins left="0.75" right="0.75" top="1" bottom="1" header="0.5" footer="0.5"/>
</worksheet>
</file>

<file path=xl/worksheets/sheet3.xml><?xml version="1.0" encoding="utf-8"?>
<worksheet xmlns="http://schemas.openxmlformats.org/spreadsheetml/2006/main">
  <sheetPr>
    <tabColor rgb="001F3864"/>
    <outlinePr summaryBelow="1" summaryRight="1"/>
    <pageSetUpPr/>
  </sheetPr>
  <dimension ref="A1:Y81"/>
  <sheetViews>
    <sheetView showGridLines="0" workbookViewId="0">
      <selection activeCell="A1" sqref="A1"/>
    </sheetView>
  </sheetViews>
  <sheetFormatPr baseColWidth="8" defaultRowHeight="15"/>
  <cols>
    <col width="3" customWidth="1" min="1" max="1"/>
    <col width="22" customWidth="1" min="18" max="18"/>
    <col width="22" customWidth="1" min="19" max="19"/>
    <col width="22" customWidth="1" min="20" max="20"/>
    <col width="22" customWidth="1" min="21" max="21"/>
    <col width="22" customWidth="1" min="22" max="22"/>
    <col width="22" customWidth="1" min="23" max="23"/>
    <col width="22" customWidth="1" min="24" max="24"/>
    <col width="22" customWidth="1" min="25" max="25"/>
    <col width="22" customWidth="1" min="26" max="26"/>
  </cols>
  <sheetData>
    <row r="1">
      <c r="A1" s="1" t="inlineStr">
        <is>
          <t>Where the money is: charts</t>
        </is>
      </c>
    </row>
    <row r="2">
      <c r="A2" s="2" t="inlineStr">
        <is>
          <t>Every series links to the data sheets. Chart source data sits in columns R onward.</t>
        </is>
      </c>
      <c r="R2" s="35" t="inlineStr">
        <is>
          <t>CHART 1: receipts, spending and cash</t>
        </is>
      </c>
    </row>
    <row r="3">
      <c r="R3" s="36" t="inlineStr">
        <is>
          <t>Metric</t>
        </is>
      </c>
      <c r="S3" s="36" t="inlineStr">
        <is>
          <t>Bob Brooks (D)</t>
        </is>
      </c>
      <c r="T3" s="36" t="inlineStr">
        <is>
          <t>Ryan Mackenzie (R)</t>
        </is>
      </c>
    </row>
    <row r="4">
      <c r="R4" s="5" t="inlineStr">
        <is>
          <t>Receipts</t>
        </is>
      </c>
      <c r="S4" s="37">
        <f>'Money Sources'!B30</f>
        <v/>
      </c>
      <c r="T4" s="37">
        <f>'Money Sources'!C30</f>
        <v/>
      </c>
    </row>
    <row r="5">
      <c r="R5" s="5" t="inlineStr">
        <is>
          <t>Disbursements</t>
        </is>
      </c>
      <c r="S5" s="37">
        <f>'Money Sources'!B31</f>
        <v/>
      </c>
      <c r="T5" s="37">
        <f>'Money Sources'!C31</f>
        <v/>
      </c>
    </row>
    <row r="6">
      <c r="R6" s="5" t="inlineStr">
        <is>
          <t>Cash on hand</t>
        </is>
      </c>
      <c r="S6" s="37">
        <f>'Money Sources'!B32</f>
        <v/>
      </c>
      <c r="T6" s="37">
        <f>'Money Sources'!C32</f>
        <v/>
      </c>
    </row>
    <row r="8">
      <c r="R8" s="35" t="inlineStr">
        <is>
          <t>CHART 2: receipts by source</t>
        </is>
      </c>
    </row>
    <row r="9">
      <c r="R9" s="36" t="inlineStr">
        <is>
          <t>Candidate</t>
        </is>
      </c>
      <c r="S9" s="36" t="inlineStr">
        <is>
          <t>Individual, itemized (over $200)</t>
        </is>
      </c>
      <c r="T9" s="36" t="inlineStr">
        <is>
          <t>Individual, unitemized ($200 or less)</t>
        </is>
      </c>
      <c r="U9" s="36" t="inlineStr">
        <is>
          <t>PAC contributions</t>
        </is>
      </c>
      <c r="V9" s="36" t="inlineStr">
        <is>
          <t>Party committee</t>
        </is>
      </c>
      <c r="W9" s="36" t="inlineStr">
        <is>
          <t>Transfers from another authorized committee</t>
        </is>
      </c>
      <c r="X9" s="36" t="inlineStr">
        <is>
          <t>Candidate self-funding</t>
        </is>
      </c>
      <c r="Y9" s="36" t="inlineStr">
        <is>
          <t>Other / unclassified</t>
        </is>
      </c>
    </row>
    <row r="10">
      <c r="R10" s="5" t="inlineStr">
        <is>
          <t>Bob Brooks (D)</t>
        </is>
      </c>
      <c r="S10" s="37">
        <f>'Money Sources'!B6</f>
        <v/>
      </c>
      <c r="T10" s="37">
        <f>'Money Sources'!B7</f>
        <v/>
      </c>
      <c r="U10" s="37">
        <f>'Money Sources'!B8</f>
        <v/>
      </c>
      <c r="V10" s="37">
        <f>'Money Sources'!B9</f>
        <v/>
      </c>
      <c r="W10" s="37">
        <f>'Money Sources'!B10</f>
        <v/>
      </c>
      <c r="X10" s="37">
        <f>'Money Sources'!B11</f>
        <v/>
      </c>
      <c r="Y10" s="37">
        <f>'Money Sources'!B12</f>
        <v/>
      </c>
    </row>
    <row r="11">
      <c r="R11" s="5" t="inlineStr">
        <is>
          <t>Ryan Mackenzie (R)</t>
        </is>
      </c>
      <c r="S11" s="37">
        <f>'Money Sources'!C6</f>
        <v/>
      </c>
      <c r="T11" s="37">
        <f>'Money Sources'!C7</f>
        <v/>
      </c>
      <c r="U11" s="37">
        <f>'Money Sources'!C8</f>
        <v/>
      </c>
      <c r="V11" s="37">
        <f>'Money Sources'!C9</f>
        <v/>
      </c>
      <c r="W11" s="37">
        <f>'Money Sources'!C10</f>
        <v/>
      </c>
      <c r="X11" s="37">
        <f>'Money Sources'!C11</f>
        <v/>
      </c>
      <c r="Y11" s="37">
        <f>'Money Sources'!C12</f>
        <v/>
      </c>
    </row>
    <row r="13">
      <c r="R13" s="35" t="inlineStr">
        <is>
          <t>CHART 3: headline receipts against receipts excluding transfers</t>
        </is>
      </c>
    </row>
    <row r="14">
      <c r="R14" s="36" t="inlineStr">
        <is>
          <t>Measure</t>
        </is>
      </c>
      <c r="S14" s="36" t="inlineStr">
        <is>
          <t>Bob Brooks (D)</t>
        </is>
      </c>
      <c r="T14" s="36" t="inlineStr">
        <is>
          <t>Ryan Mackenzie (R)</t>
        </is>
      </c>
    </row>
    <row r="15">
      <c r="R15" s="5" t="inlineStr">
        <is>
          <t>Receipts as reported</t>
        </is>
      </c>
      <c r="S15" s="37">
        <f>'Money Sources'!B18</f>
        <v/>
      </c>
      <c r="T15" s="37">
        <f>'Money Sources'!C18</f>
        <v/>
      </c>
    </row>
    <row r="16">
      <c r="R16" s="5" t="inlineStr">
        <is>
          <t>Excluding committee transfers</t>
        </is>
      </c>
      <c r="S16" s="37">
        <f>'Money Sources'!B20</f>
        <v/>
      </c>
      <c r="T16" s="37">
        <f>'Money Sources'!C20</f>
        <v/>
      </c>
    </row>
    <row r="18">
      <c r="R18" s="35" t="inlineStr">
        <is>
          <t>CHART 4: ten largest outside spenders</t>
        </is>
      </c>
    </row>
    <row r="19">
      <c r="R19" s="36" t="inlineStr">
        <is>
          <t>Committee</t>
        </is>
      </c>
      <c r="S19" s="36" t="inlineStr">
        <is>
          <t>Independent expenditure</t>
        </is>
      </c>
    </row>
    <row r="20">
      <c r="R20" s="5" t="inlineStr">
        <is>
          <t>Stronger Together PA (supports Brooks)</t>
        </is>
      </c>
      <c r="S20" s="37">
        <f>'Outside Money'!D6</f>
        <v/>
      </c>
    </row>
    <row r="21">
      <c r="R21" s="5" t="inlineStr">
        <is>
          <t>Hmp (opposes Mackenzie)</t>
        </is>
      </c>
      <c r="S21" s="37">
        <f>'Outside Money'!D7</f>
        <v/>
      </c>
    </row>
    <row r="22">
      <c r="R22" s="5" t="inlineStr">
        <is>
          <t>Lead Left PAC (opposes Brooks)</t>
        </is>
      </c>
      <c r="S22" s="37">
        <f>'Outside Money'!D8</f>
        <v/>
      </c>
    </row>
    <row r="23">
      <c r="R23" s="5" t="inlineStr">
        <is>
          <t>Jobs and Democracy PAC (supports Brooks)</t>
        </is>
      </c>
      <c r="S23" s="37">
        <f>'Outside Money'!D9</f>
        <v/>
      </c>
    </row>
    <row r="24">
      <c r="R24" s="5" t="inlineStr">
        <is>
          <t>Congressional Progressive Caucus PAC (supports Brooks)</t>
        </is>
      </c>
      <c r="S24" s="37">
        <f>'Outside Money'!D10</f>
        <v/>
      </c>
    </row>
    <row r="25">
      <c r="R25" s="5" t="inlineStr">
        <is>
          <t>Medicare for All (supports Brooks)</t>
        </is>
      </c>
      <c r="S25" s="37">
        <f>'Outside Money'!D11</f>
        <v/>
      </c>
    </row>
    <row r="26">
      <c r="R26" s="5" t="inlineStr">
        <is>
          <t>DLP PAC (supports Brooks)</t>
        </is>
      </c>
      <c r="S26" s="37">
        <f>'Outside Money'!D12</f>
        <v/>
      </c>
    </row>
    <row r="27">
      <c r="R27" s="5" t="inlineStr">
        <is>
          <t>Working Families Party PAC (supports Brooks)</t>
        </is>
      </c>
      <c r="S27" s="37">
        <f>'Outside Money'!D13</f>
        <v/>
      </c>
    </row>
    <row r="28">
      <c r="R28" s="5" t="inlineStr">
        <is>
          <t>Rural Freedom Network (supports Brooks)</t>
        </is>
      </c>
      <c r="S28" s="37">
        <f>'Outside Money'!D14</f>
        <v/>
      </c>
    </row>
    <row r="29">
      <c r="R29" s="5" t="inlineStr">
        <is>
          <t>Make the Road Action Political Committee (supports Brooks)</t>
        </is>
      </c>
      <c r="S29" s="37">
        <f>'Outside Money'!D15</f>
        <v/>
      </c>
    </row>
    <row r="31">
      <c r="R31" s="35" t="inlineStr">
        <is>
          <t>CHART 5: outside spending by target and stance</t>
        </is>
      </c>
    </row>
    <row r="32">
      <c r="R32" s="36" t="inlineStr">
        <is>
          <t>Target and stance</t>
        </is>
      </c>
      <c r="S32" s="36" t="inlineStr">
        <is>
          <t>Amount</t>
        </is>
      </c>
    </row>
    <row r="33">
      <c r="R33" s="5" t="inlineStr">
        <is>
          <t>Brooks, supports</t>
        </is>
      </c>
      <c r="S33" s="37">
        <f>'Outside Money'!C48</f>
        <v/>
      </c>
    </row>
    <row r="34">
      <c r="R34" s="5" t="inlineStr">
        <is>
          <t>Brooks, opposes</t>
        </is>
      </c>
      <c r="S34" s="37">
        <f>'Outside Money'!C49</f>
        <v/>
      </c>
    </row>
    <row r="35">
      <c r="R35" s="5" t="inlineStr">
        <is>
          <t>Mackenzie, supports</t>
        </is>
      </c>
      <c r="S35" s="37">
        <f>'Outside Money'!C50</f>
        <v/>
      </c>
    </row>
    <row r="36">
      <c r="R36" s="5" t="inlineStr">
        <is>
          <t>Mackenzie, opposes</t>
        </is>
      </c>
      <c r="S36" s="37">
        <f>'Outside Money'!C51</f>
        <v/>
      </c>
    </row>
    <row r="38">
      <c r="R38" s="35" t="inlineStr">
        <is>
          <t>CHART 6: concentration of outside spending</t>
        </is>
      </c>
    </row>
    <row r="39">
      <c r="R39" s="36" t="inlineStr">
        <is>
          <t>Committee</t>
        </is>
      </c>
      <c r="S39" s="36" t="inlineStr">
        <is>
          <t>Outside spending</t>
        </is>
      </c>
    </row>
    <row r="40">
      <c r="R40" s="5" t="inlineStr">
        <is>
          <t>Stronger Together PA</t>
        </is>
      </c>
      <c r="S40" s="37">
        <f>'Outside Money'!D6</f>
        <v/>
      </c>
    </row>
    <row r="41">
      <c r="R41" s="5" t="inlineStr">
        <is>
          <t>Hmp</t>
        </is>
      </c>
      <c r="S41" s="37">
        <f>'Outside Money'!D7</f>
        <v/>
      </c>
    </row>
    <row r="42">
      <c r="R42" s="5" t="inlineStr">
        <is>
          <t>Lead Left PAC</t>
        </is>
      </c>
      <c r="S42" s="37">
        <f>'Outside Money'!D8</f>
        <v/>
      </c>
    </row>
    <row r="43">
      <c r="R43" s="5" t="inlineStr">
        <is>
          <t>Jobs and Democracy PAC</t>
        </is>
      </c>
      <c r="S43" s="37">
        <f>'Outside Money'!D9</f>
        <v/>
      </c>
    </row>
    <row r="44">
      <c r="R44" s="5" t="inlineStr">
        <is>
          <t>Congressional Progressive Caucus PAC</t>
        </is>
      </c>
      <c r="S44" s="37">
        <f>'Outside Money'!D10</f>
        <v/>
      </c>
    </row>
    <row r="45">
      <c r="R45" s="5" t="inlineStr">
        <is>
          <t>Medicare for All</t>
        </is>
      </c>
      <c r="S45" s="37">
        <f>'Outside Money'!D11</f>
        <v/>
      </c>
    </row>
    <row r="46">
      <c r="R46" s="5" t="inlineStr">
        <is>
          <t>All other (32 committees)</t>
        </is>
      </c>
      <c r="S46" s="37">
        <f>'Outside Money'!D44-SUM('Outside Money'!D6:D11)</f>
        <v/>
      </c>
    </row>
    <row r="48">
      <c r="R48" s="35" t="inlineStr">
        <is>
          <t>CHART 7: spending by category</t>
        </is>
      </c>
    </row>
    <row r="49">
      <c r="R49" s="36" t="inlineStr">
        <is>
          <t>Category</t>
        </is>
      </c>
      <c r="S49" s="36" t="inlineStr">
        <is>
          <t>Bob Brooks (D)</t>
        </is>
      </c>
      <c r="T49" s="36" t="inlineStr">
        <is>
          <t>Ryan Mackenzie (R)</t>
        </is>
      </c>
    </row>
    <row r="50">
      <c r="R50" s="38">
        <f>'Spending Detail'!A6</f>
        <v/>
      </c>
      <c r="S50" s="37">
        <f>'Spending Detail'!B6</f>
        <v/>
      </c>
      <c r="T50" s="37">
        <f>'Spending Detail'!E6</f>
        <v/>
      </c>
    </row>
    <row r="51">
      <c r="R51" s="38">
        <f>'Spending Detail'!A7</f>
        <v/>
      </c>
      <c r="S51" s="37">
        <f>'Spending Detail'!B7</f>
        <v/>
      </c>
      <c r="T51" s="37">
        <f>'Spending Detail'!E7</f>
        <v/>
      </c>
    </row>
    <row r="52">
      <c r="R52" s="38">
        <f>'Spending Detail'!A8</f>
        <v/>
      </c>
      <c r="S52" s="37">
        <f>'Spending Detail'!B8</f>
        <v/>
      </c>
      <c r="T52" s="37">
        <f>'Spending Detail'!E8</f>
        <v/>
      </c>
    </row>
    <row r="53">
      <c r="R53" s="38">
        <f>'Spending Detail'!A9</f>
        <v/>
      </c>
      <c r="S53" s="37">
        <f>'Spending Detail'!B9</f>
        <v/>
      </c>
      <c r="T53" s="37">
        <f>'Spending Detail'!E9</f>
        <v/>
      </c>
    </row>
    <row r="54">
      <c r="R54" s="38">
        <f>'Spending Detail'!A10</f>
        <v/>
      </c>
      <c r="S54" s="37">
        <f>'Spending Detail'!B10</f>
        <v/>
      </c>
      <c r="T54" s="37">
        <f>'Spending Detail'!E10</f>
        <v/>
      </c>
    </row>
    <row r="55">
      <c r="R55" s="38">
        <f>'Spending Detail'!A11</f>
        <v/>
      </c>
      <c r="S55" s="37">
        <f>'Spending Detail'!B11</f>
        <v/>
      </c>
      <c r="T55" s="37">
        <f>'Spending Detail'!E11</f>
        <v/>
      </c>
    </row>
    <row r="56">
      <c r="R56" s="38">
        <f>'Spending Detail'!A12</f>
        <v/>
      </c>
      <c r="S56" s="37">
        <f>'Spending Detail'!B12</f>
        <v/>
      </c>
      <c r="T56" s="37">
        <f>'Spending Detail'!E12</f>
        <v/>
      </c>
    </row>
    <row r="57">
      <c r="R57" s="38">
        <f>'Spending Detail'!A13</f>
        <v/>
      </c>
      <c r="S57" s="37">
        <f>'Spending Detail'!B13</f>
        <v/>
      </c>
      <c r="T57" s="37">
        <f>'Spending Detail'!E13</f>
        <v/>
      </c>
    </row>
    <row r="59">
      <c r="R59" s="35" t="inlineStr">
        <is>
          <t>CHART 8: contributions by state</t>
        </is>
      </c>
    </row>
    <row r="60">
      <c r="R60" s="36" t="inlineStr">
        <is>
          <t>State</t>
        </is>
      </c>
      <c r="S60" s="36" t="inlineStr">
        <is>
          <t>Bob Brooks (D)</t>
        </is>
      </c>
      <c r="T60" s="36" t="inlineStr">
        <is>
          <t>Ryan Mackenzie (R)</t>
        </is>
      </c>
    </row>
    <row r="61">
      <c r="R61" s="38">
        <f>'Donor Detail'!A6</f>
        <v/>
      </c>
      <c r="S61" s="37">
        <f>'Donor Detail'!B6</f>
        <v/>
      </c>
      <c r="T61" s="37">
        <f>'Donor Detail'!E6</f>
        <v/>
      </c>
    </row>
    <row r="62">
      <c r="R62" s="38">
        <f>'Donor Detail'!A7</f>
        <v/>
      </c>
      <c r="S62" s="37">
        <f>'Donor Detail'!B7</f>
        <v/>
      </c>
      <c r="T62" s="37">
        <f>'Donor Detail'!E7</f>
        <v/>
      </c>
    </row>
    <row r="63">
      <c r="R63" s="38">
        <f>'Donor Detail'!A8</f>
        <v/>
      </c>
      <c r="S63" s="37">
        <f>'Donor Detail'!B8</f>
        <v/>
      </c>
      <c r="T63" s="37">
        <f>'Donor Detail'!E8</f>
        <v/>
      </c>
    </row>
    <row r="64">
      <c r="R64" s="38">
        <f>'Donor Detail'!A9</f>
        <v/>
      </c>
      <c r="S64" s="37">
        <f>'Donor Detail'!B9</f>
        <v/>
      </c>
      <c r="T64" s="37">
        <f>'Donor Detail'!E9</f>
        <v/>
      </c>
    </row>
    <row r="65">
      <c r="R65" s="38">
        <f>'Donor Detail'!A10</f>
        <v/>
      </c>
      <c r="S65" s="37">
        <f>'Donor Detail'!B10</f>
        <v/>
      </c>
      <c r="T65" s="37">
        <f>'Donor Detail'!E10</f>
        <v/>
      </c>
    </row>
    <row r="66">
      <c r="R66" s="38">
        <f>'Donor Detail'!A11</f>
        <v/>
      </c>
      <c r="S66" s="37">
        <f>'Donor Detail'!B11</f>
        <v/>
      </c>
      <c r="T66" s="37">
        <f>'Donor Detail'!E11</f>
        <v/>
      </c>
    </row>
    <row r="67">
      <c r="R67" s="38">
        <f>'Donor Detail'!A12</f>
        <v/>
      </c>
      <c r="S67" s="37">
        <f>'Donor Detail'!B12</f>
        <v/>
      </c>
      <c r="T67" s="37">
        <f>'Donor Detail'!E12</f>
        <v/>
      </c>
    </row>
    <row r="68">
      <c r="R68" s="38">
        <f>'Donor Detail'!A13</f>
        <v/>
      </c>
      <c r="S68" s="37">
        <f>'Donor Detail'!B13</f>
        <v/>
      </c>
      <c r="T68" s="37">
        <f>'Donor Detail'!E13</f>
        <v/>
      </c>
    </row>
    <row r="70">
      <c r="R70" s="35" t="inlineStr">
        <is>
          <t>CHART 9: what outside groups bought</t>
        </is>
      </c>
    </row>
    <row r="71">
      <c r="R71" s="36" t="inlineStr">
        <is>
          <t>Category</t>
        </is>
      </c>
      <c r="S71" s="36" t="inlineStr">
        <is>
          <t>Outside spending</t>
        </is>
      </c>
    </row>
    <row r="72">
      <c r="R72" s="38">
        <f>'Outside Detail'!A6</f>
        <v/>
      </c>
      <c r="S72" s="37">
        <f>'Outside Detail'!B6</f>
        <v/>
      </c>
    </row>
    <row r="73">
      <c r="R73" s="38">
        <f>'Outside Detail'!A7</f>
        <v/>
      </c>
      <c r="S73" s="37">
        <f>'Outside Detail'!B7</f>
        <v/>
      </c>
    </row>
    <row r="74">
      <c r="R74" s="38">
        <f>'Outside Detail'!A8</f>
        <v/>
      </c>
      <c r="S74" s="37">
        <f>'Outside Detail'!B8</f>
        <v/>
      </c>
    </row>
    <row r="75">
      <c r="R75" s="38">
        <f>'Outside Detail'!A9</f>
        <v/>
      </c>
      <c r="S75" s="37">
        <f>'Outside Detail'!B9</f>
        <v/>
      </c>
    </row>
    <row r="76">
      <c r="R76" s="38">
        <f>'Outside Detail'!A10</f>
        <v/>
      </c>
      <c r="S76" s="37">
        <f>'Outside Detail'!B10</f>
        <v/>
      </c>
    </row>
    <row r="77">
      <c r="R77" s="38">
        <f>'Outside Detail'!A11</f>
        <v/>
      </c>
      <c r="S77" s="37">
        <f>'Outside Detail'!B11</f>
        <v/>
      </c>
    </row>
    <row r="78">
      <c r="R78" s="38">
        <f>'Outside Detail'!A12</f>
        <v/>
      </c>
      <c r="S78" s="37">
        <f>'Outside Detail'!B12</f>
        <v/>
      </c>
    </row>
    <row r="79">
      <c r="R79" s="38">
        <f>'Outside Detail'!A13</f>
        <v/>
      </c>
      <c r="S79" s="37">
        <f>'Outside Detail'!B13</f>
        <v/>
      </c>
    </row>
    <row r="80">
      <c r="R80" s="38">
        <f>'Outside Detail'!A14</f>
        <v/>
      </c>
      <c r="S80" s="37">
        <f>'Outside Detail'!B14</f>
        <v/>
      </c>
    </row>
    <row r="81">
      <c r="R81" s="38">
        <f>'Outside Detail'!A15</f>
        <v/>
      </c>
      <c r="S81" s="37">
        <f>'Outside Detail'!B15</f>
        <v/>
      </c>
    </row>
  </sheetData>
  <pageMargins left="0.75" right="0.75" top="1" bottom="1" header="0.5" footer="0.5"/>
  <drawing xmlns:r="http://schemas.openxmlformats.org/officeDocument/2006/relationships" r:id="rId1"/>
</worksheet>
</file>

<file path=xl/worksheets/sheet4.xml><?xml version="1.0" encoding="utf-8"?>
<worksheet xmlns="http://schemas.openxmlformats.org/spreadsheetml/2006/main">
  <sheetPr>
    <tabColor rgb="001F3864"/>
    <outlinePr summaryBelow="1" summaryRight="1"/>
    <pageSetUpPr/>
  </sheetPr>
  <dimension ref="A1:E37"/>
  <sheetViews>
    <sheetView workbookViewId="0">
      <selection activeCell="A1" sqref="A1"/>
    </sheetView>
  </sheetViews>
  <sheetFormatPr baseColWidth="8" defaultRowHeight="15"/>
  <cols>
    <col width="44" customWidth="1" min="1" max="1"/>
    <col width="17" customWidth="1" min="2" max="2"/>
    <col width="17" customWidth="1" min="3" max="3"/>
    <col width="15" customWidth="1" min="4" max="4"/>
    <col width="15" customWidth="1" min="5" max="5"/>
  </cols>
  <sheetData>
    <row r="1">
      <c r="A1" s="1" t="inlineStr">
        <is>
          <t>Where each nominee's money came from</t>
        </is>
      </c>
    </row>
    <row r="2">
      <c r="A2" s="2" t="inlineStr">
        <is>
          <t>Composition of receipts, and what changes when committee transfers are set aside.</t>
        </is>
      </c>
    </row>
    <row r="4" ht="18" customHeight="1">
      <c r="A4" s="3" t="inlineStr">
        <is>
          <t>SOURCE OF FUNDS</t>
        </is>
      </c>
      <c r="B4" s="4" t="n"/>
      <c r="C4" s="4" t="n"/>
      <c r="D4" s="4" t="n"/>
      <c r="E4" s="4" t="n"/>
    </row>
    <row r="5" ht="32" customHeight="1">
      <c r="A5" s="10" t="inlineStr">
        <is>
          <t>Source of funds</t>
        </is>
      </c>
      <c r="B5" s="10" t="inlineStr">
        <is>
          <t>Bob Brooks (D)</t>
        </is>
      </c>
      <c r="C5" s="10" t="inlineStr">
        <is>
          <t>Ryan Mackenzie (R)</t>
        </is>
      </c>
      <c r="D5" s="10" t="inlineStr">
        <is>
          <t>D, share of receipts</t>
        </is>
      </c>
      <c r="E5" s="10" t="inlineStr">
        <is>
          <t>R, share of receipts</t>
        </is>
      </c>
    </row>
    <row r="6">
      <c r="A6" s="14" t="inlineStr">
        <is>
          <t>Individual, itemized (over $200)</t>
        </is>
      </c>
      <c r="B6" s="12">
        <f>IFERROR(IF(INDEX('Candidate Totals'!$K$6:$K$7,MATCH("Bob Brooks",'Candidate Totals'!$A$6:$A$7,0))=0,"",INDEX('Candidate Totals'!$K$6:$K$7,MATCH("Bob Brooks",'Candidate Totals'!$A$6:$A$7,0))-INDEX('Candidate Totals'!$L$6:$L$7,MATCH("Bob Brooks",'Candidate Totals'!$A$6:$A$7,0))),"")</f>
        <v/>
      </c>
      <c r="C6" s="12">
        <f>IFERROR(IF(INDEX('Candidate Totals'!$K$6:$K$7,MATCH("Ryan Mackenzie",'Candidate Totals'!$A$6:$A$7,0))=0,"",INDEX('Candidate Totals'!$K$6:$K$7,MATCH("Ryan Mackenzie",'Candidate Totals'!$A$6:$A$7,0))-INDEX('Candidate Totals'!$L$6:$L$7,MATCH("Ryan Mackenzie",'Candidate Totals'!$A$6:$A$7,0))),"")</f>
        <v/>
      </c>
      <c r="D6" s="22">
        <f>IF(AND(ISNUMBER(B6),ISNUMBER(B13)),B6/B13,"")</f>
        <v/>
      </c>
      <c r="E6" s="22">
        <f>IF(AND(ISNUMBER(C6),ISNUMBER(C13)),C6/C13,"")</f>
        <v/>
      </c>
    </row>
    <row r="7">
      <c r="A7" s="14" t="inlineStr">
        <is>
          <t>Individual, unitemized ($200 or less)</t>
        </is>
      </c>
      <c r="B7" s="12">
        <f>IFERROR(IF(INDEX('Candidate Totals'!$L$6:$L$7,MATCH("Bob Brooks",'Candidate Totals'!$A$6:$A$7,0))=0,"",INDEX('Candidate Totals'!$L$6:$L$7,MATCH("Bob Brooks",'Candidate Totals'!$A$6:$A$7,0))),"")</f>
        <v/>
      </c>
      <c r="C7" s="12">
        <f>IFERROR(IF(INDEX('Candidate Totals'!$L$6:$L$7,MATCH("Ryan Mackenzie",'Candidate Totals'!$A$6:$A$7,0))=0,"",INDEX('Candidate Totals'!$L$6:$L$7,MATCH("Ryan Mackenzie",'Candidate Totals'!$A$6:$A$7,0))),"")</f>
        <v/>
      </c>
      <c r="D7" s="22">
        <f>IF(AND(ISNUMBER(B7),ISNUMBER(B13)),B7/B13,"")</f>
        <v/>
      </c>
      <c r="E7" s="22">
        <f>IF(AND(ISNUMBER(C7),ISNUMBER(C13)),C7/C13,"")</f>
        <v/>
      </c>
    </row>
    <row r="8">
      <c r="A8" s="14" t="inlineStr">
        <is>
          <t>PAC contributions</t>
        </is>
      </c>
      <c r="B8" s="12">
        <f>IFERROR(IF(INDEX('Candidate Totals'!$M$6:$M$7,MATCH("Bob Brooks",'Candidate Totals'!$A$6:$A$7,0))=0,"",INDEX('Candidate Totals'!$M$6:$M$7,MATCH("Bob Brooks",'Candidate Totals'!$A$6:$A$7,0))),"")</f>
        <v/>
      </c>
      <c r="C8" s="12">
        <f>IFERROR(IF(INDEX('Candidate Totals'!$M$6:$M$7,MATCH("Ryan Mackenzie",'Candidate Totals'!$A$6:$A$7,0))=0,"",INDEX('Candidate Totals'!$M$6:$M$7,MATCH("Ryan Mackenzie",'Candidate Totals'!$A$6:$A$7,0))),"")</f>
        <v/>
      </c>
      <c r="D8" s="22">
        <f>IF(AND(ISNUMBER(B8),ISNUMBER(B13)),B8/B13,"")</f>
        <v/>
      </c>
      <c r="E8" s="22">
        <f>IF(AND(ISNUMBER(C8),ISNUMBER(C13)),C8/C13,"")</f>
        <v/>
      </c>
    </row>
    <row r="9">
      <c r="A9" s="14" t="inlineStr">
        <is>
          <t>Party committee</t>
        </is>
      </c>
      <c r="B9" s="12">
        <f>IFERROR(IF(INDEX('Candidate Totals'!$N$6:$N$7,MATCH("Bob Brooks",'Candidate Totals'!$A$6:$A$7,0))=0,"",INDEX('Candidate Totals'!$N$6:$N$7,MATCH("Bob Brooks",'Candidate Totals'!$A$6:$A$7,0))),"")</f>
        <v/>
      </c>
      <c r="C9" s="12">
        <f>IFERROR(IF(INDEX('Candidate Totals'!$N$6:$N$7,MATCH("Ryan Mackenzie",'Candidate Totals'!$A$6:$A$7,0))=0,"",INDEX('Candidate Totals'!$N$6:$N$7,MATCH("Ryan Mackenzie",'Candidate Totals'!$A$6:$A$7,0))),"")</f>
        <v/>
      </c>
      <c r="D9" s="22">
        <f>IF(AND(ISNUMBER(B9),ISNUMBER(B13)),B9/B13,"")</f>
        <v/>
      </c>
      <c r="E9" s="22">
        <f>IF(AND(ISNUMBER(C9),ISNUMBER(C13)),C9/C13,"")</f>
        <v/>
      </c>
    </row>
    <row r="10">
      <c r="A10" s="14" t="inlineStr">
        <is>
          <t>Transfers from another authorized committee</t>
        </is>
      </c>
      <c r="B10" s="12">
        <f>IFERROR(IF(INDEX('Candidate Totals'!$O$6:$O$7,MATCH("Bob Brooks",'Candidate Totals'!$A$6:$A$7,0))=0,"",INDEX('Candidate Totals'!$O$6:$O$7,MATCH("Bob Brooks",'Candidate Totals'!$A$6:$A$7,0))),"")</f>
        <v/>
      </c>
      <c r="C10" s="12">
        <f>IFERROR(IF(INDEX('Candidate Totals'!$O$6:$O$7,MATCH("Ryan Mackenzie",'Candidate Totals'!$A$6:$A$7,0))=0,"",INDEX('Candidate Totals'!$O$6:$O$7,MATCH("Ryan Mackenzie",'Candidate Totals'!$A$6:$A$7,0))),"")</f>
        <v/>
      </c>
      <c r="D10" s="22">
        <f>IF(AND(ISNUMBER(B10),ISNUMBER(B13)),B10/B13,"")</f>
        <v/>
      </c>
      <c r="E10" s="22">
        <f>IF(AND(ISNUMBER(C10),ISNUMBER(C13)),C10/C13,"")</f>
        <v/>
      </c>
    </row>
    <row r="11">
      <c r="A11" s="14" t="inlineStr">
        <is>
          <t>Candidate self-funding</t>
        </is>
      </c>
      <c r="B11" s="12">
        <f>IFERROR(INDEX('Candidate Totals'!$P$6:$P$7,MATCH("Bob Brooks",'Candidate Totals'!$A$6:$A$7,0)),"")</f>
        <v/>
      </c>
      <c r="C11" s="12">
        <f>IFERROR(INDEX('Candidate Totals'!$P$6:$P$7,MATCH("Ryan Mackenzie",'Candidate Totals'!$A$6:$A$7,0)),"")</f>
        <v/>
      </c>
      <c r="D11" s="22">
        <f>IF(AND(ISNUMBER(B11),ISNUMBER(B13)),B11/B13,"")</f>
        <v/>
      </c>
      <c r="E11" s="22">
        <f>IF(AND(ISNUMBER(C11),ISNUMBER(C13)),C11/C13,"")</f>
        <v/>
      </c>
    </row>
    <row r="12">
      <c r="A12" s="14" t="inlineStr">
        <is>
          <t>Other / unclassified</t>
        </is>
      </c>
      <c r="B12" s="12">
        <f>IFERROR(IF(INDEX('Candidate Totals'!$Q$6:$Q$7,MATCH("Bob Brooks",'Candidate Totals'!$A$6:$A$7,0))=0,"",INDEX('Candidate Totals'!$Q$6:$Q$7,MATCH("Bob Brooks",'Candidate Totals'!$A$6:$A$7,0))),"")</f>
        <v/>
      </c>
      <c r="C12" s="12">
        <f>IFERROR(IF(INDEX('Candidate Totals'!$Q$6:$Q$7,MATCH("Ryan Mackenzie",'Candidate Totals'!$A$6:$A$7,0))=0,"",INDEX('Candidate Totals'!$Q$6:$Q$7,MATCH("Ryan Mackenzie",'Candidate Totals'!$A$6:$A$7,0))),"")</f>
        <v/>
      </c>
      <c r="D12" s="22">
        <f>IF(AND(ISNUMBER(B12),ISNUMBER(B13)),B12/B13,"")</f>
        <v/>
      </c>
      <c r="E12" s="22">
        <f>IF(AND(ISNUMBER(C12),ISNUMBER(C13)),C12/C13,"")</f>
        <v/>
      </c>
    </row>
    <row r="13">
      <c r="A13" s="15" t="inlineStr">
        <is>
          <t>TOTAL RECEIPTS</t>
        </is>
      </c>
      <c r="B13" s="17">
        <f>SUM(B6:B12)</f>
        <v/>
      </c>
      <c r="C13" s="17">
        <f>SUM(C6:C12)</f>
        <v/>
      </c>
      <c r="D13" s="39">
        <f>IFERROR(SUM(D6:D12),"")</f>
        <v/>
      </c>
      <c r="E13" s="39">
        <f>IFERROR(SUM(E6:E12),"")</f>
        <v/>
      </c>
    </row>
    <row r="14">
      <c r="A14" s="40" t="inlineStr">
        <is>
          <t>Check: components minus reported receipts (must be $0)</t>
        </is>
      </c>
      <c r="B14" s="41">
        <f>IFERROR(B13-INDEX('Candidate Totals'!$G$6:$G$7,MATCH("Bob Brooks",'Candidate Totals'!$A$6:$A$7,0)),"")</f>
        <v/>
      </c>
      <c r="C14" s="41">
        <f>IFERROR(C13-INDEX('Candidate Totals'!$G$6:$G$7,MATCH("Ryan Mackenzie",'Candidate Totals'!$A$6:$A$7,0)),"")</f>
        <v/>
      </c>
    </row>
    <row r="16" ht="18" customHeight="1">
      <c r="A16" s="3" t="inlineStr">
        <is>
          <t>THE HEADLINE GAP, AND WHAT IS IN IT</t>
        </is>
      </c>
      <c r="B16" s="4" t="n"/>
      <c r="C16" s="4" t="n"/>
      <c r="D16" s="4" t="n"/>
      <c r="E16" s="4" t="n"/>
    </row>
    <row r="17" ht="32" customHeight="1">
      <c r="A17" s="10" t="inlineStr">
        <is>
          <t>Measure</t>
        </is>
      </c>
      <c r="B17" s="10" t="inlineStr">
        <is>
          <t>Bob Brooks (D)</t>
        </is>
      </c>
      <c r="C17" s="10" t="inlineStr">
        <is>
          <t>Ryan Mackenzie (R)</t>
        </is>
      </c>
      <c r="D17" s="10" t="inlineStr">
        <is>
          <t>R minus D</t>
        </is>
      </c>
      <c r="E17" s="10" t="inlineStr"/>
    </row>
    <row r="18">
      <c r="A18" s="14" t="inlineStr">
        <is>
          <t>Receipts as reported</t>
        </is>
      </c>
      <c r="B18" s="12">
        <f>IFERROR(IF(INDEX('Candidate Totals'!$G$6:$G$7,MATCH("Bob Brooks",'Candidate Totals'!$A$6:$A$7,0))=0,"",INDEX('Candidate Totals'!$G$6:$G$7,MATCH("Bob Brooks",'Candidate Totals'!$A$6:$A$7,0))),"")</f>
        <v/>
      </c>
      <c r="C18" s="12">
        <f>IFERROR(IF(INDEX('Candidate Totals'!$G$6:$G$7,MATCH("Ryan Mackenzie",'Candidate Totals'!$A$6:$A$7,0))=0,"",INDEX('Candidate Totals'!$G$6:$G$7,MATCH("Ryan Mackenzie",'Candidate Totals'!$A$6:$A$7,0))),"")</f>
        <v/>
      </c>
      <c r="D18" s="42">
        <f>IF(AND(ISNUMBER(C18),ISNUMBER(B18)),C18-B18,"")</f>
        <v/>
      </c>
    </row>
    <row r="19">
      <c r="A19" s="14" t="inlineStr">
        <is>
          <t>less: transfers from another authorized committee</t>
        </is>
      </c>
      <c r="B19" s="12">
        <f>IFERROR(IF(INDEX('Candidate Totals'!$O$6:$O$7,MATCH("Bob Brooks",'Candidate Totals'!$A$6:$A$7,0))=0,"",INDEX('Candidate Totals'!$O$6:$O$7,MATCH("Bob Brooks",'Candidate Totals'!$A$6:$A$7,0))),"")</f>
        <v/>
      </c>
      <c r="C19" s="12">
        <f>IFERROR(IF(INDEX('Candidate Totals'!$O$6:$O$7,MATCH("Ryan Mackenzie",'Candidate Totals'!$A$6:$A$7,0))=0,"",INDEX('Candidate Totals'!$O$6:$O$7,MATCH("Ryan Mackenzie",'Candidate Totals'!$A$6:$A$7,0))),"")</f>
        <v/>
      </c>
      <c r="D19" s="42">
        <f>IF(AND(ISNUMBER(C19),ISNUMBER(B19)),C19-B19,"")</f>
        <v/>
      </c>
    </row>
    <row r="20">
      <c r="A20" s="15" t="inlineStr">
        <is>
          <t>Receipts excluding committee transfers</t>
        </is>
      </c>
      <c r="B20" s="17">
        <f>IF(AND(ISNUMBER(B18),ISNUMBER(B19)),B18-B19,"")</f>
        <v/>
      </c>
      <c r="C20" s="17">
        <f>IF(AND(ISNUMBER(C18),ISNUMBER(C19)),C18-C19,"")</f>
        <v/>
      </c>
      <c r="D20" s="17">
        <f>IF(AND(ISNUMBER(C20),ISNUMBER(B20)),C20-B20,"")</f>
        <v/>
      </c>
    </row>
    <row r="22" ht="18" customHeight="1">
      <c r="A22" s="3" t="inlineStr">
        <is>
          <t>SMALL-DOLLAR SHARE</t>
        </is>
      </c>
      <c r="B22" s="4" t="n"/>
      <c r="C22" s="4" t="n"/>
      <c r="D22" s="4" t="n"/>
      <c r="E22" s="4" t="n"/>
    </row>
    <row r="23" ht="32" customHeight="1">
      <c r="A23" s="10" t="inlineStr">
        <is>
          <t>Measure</t>
        </is>
      </c>
      <c r="B23" s="10" t="inlineStr">
        <is>
          <t>Bob Brooks (D)</t>
        </is>
      </c>
      <c r="C23" s="10" t="inlineStr">
        <is>
          <t>Ryan Mackenzie (R)</t>
        </is>
      </c>
      <c r="D23" s="10" t="inlineStr"/>
      <c r="E23" s="10" t="inlineStr"/>
    </row>
    <row r="24">
      <c r="A24" s="14" t="inlineStr">
        <is>
          <t>Unitemized contributions ($200 or less)</t>
        </is>
      </c>
      <c r="B24" s="12">
        <f>IFERROR(IF(INDEX('Candidate Totals'!$L$6:$L$7,MATCH("Bob Brooks",'Candidate Totals'!$A$6:$A$7,0))=0,"",INDEX('Candidate Totals'!$L$6:$L$7,MATCH("Bob Brooks",'Candidate Totals'!$A$6:$A$7,0))),"")</f>
        <v/>
      </c>
      <c r="C24" s="12">
        <f>IFERROR(IF(INDEX('Candidate Totals'!$L$6:$L$7,MATCH("Ryan Mackenzie",'Candidate Totals'!$A$6:$A$7,0))=0,"",INDEX('Candidate Totals'!$L$6:$L$7,MATCH("Ryan Mackenzie",'Candidate Totals'!$A$6:$A$7,0))),"")</f>
        <v/>
      </c>
    </row>
    <row r="25">
      <c r="A25" s="14" t="inlineStr">
        <is>
          <t>as a share of total receipts</t>
        </is>
      </c>
      <c r="B25" s="22">
        <f>IFERROR(B24/(INDEX('Candidate Totals'!$G$6:$G$7,MATCH("Bob Brooks",'Candidate Totals'!$A$6:$A$7,0))),"")</f>
        <v/>
      </c>
      <c r="C25" s="22">
        <f>IFERROR(C24/(INDEX('Candidate Totals'!$G$6:$G$7,MATCH("Ryan Mackenzie",'Candidate Totals'!$A$6:$A$7,0))),"")</f>
        <v/>
      </c>
    </row>
    <row r="26">
      <c r="A26" s="14" t="inlineStr">
        <is>
          <t>as a share of individual contributions</t>
        </is>
      </c>
      <c r="B26" s="22">
        <f>IFERROR(B24/(INDEX('Candidate Totals'!$K$6:$K$7,MATCH("Bob Brooks",'Candidate Totals'!$A$6:$A$7,0))),"")</f>
        <v/>
      </c>
      <c r="C26" s="22">
        <f>IFERROR(C24/(INDEX('Candidate Totals'!$K$6:$K$7,MATCH("Ryan Mackenzie",'Candidate Totals'!$A$6:$A$7,0))),"")</f>
        <v/>
      </c>
    </row>
    <row r="28" ht="18" customHeight="1">
      <c r="A28" s="3" t="inlineStr">
        <is>
          <t>SPENDING PACE AND CASH</t>
        </is>
      </c>
      <c r="B28" s="4" t="n"/>
      <c r="C28" s="4" t="n"/>
      <c r="D28" s="4" t="n"/>
      <c r="E28" s="4" t="n"/>
    </row>
    <row r="29" ht="32" customHeight="1">
      <c r="A29" s="10" t="inlineStr">
        <is>
          <t>Measure</t>
        </is>
      </c>
      <c r="B29" s="10" t="inlineStr">
        <is>
          <t>Bob Brooks (D)</t>
        </is>
      </c>
      <c r="C29" s="10" t="inlineStr">
        <is>
          <t>Ryan Mackenzie (R)</t>
        </is>
      </c>
      <c r="D29" s="10" t="inlineStr">
        <is>
          <t>R minus D</t>
        </is>
      </c>
      <c r="E29" s="10" t="inlineStr"/>
    </row>
    <row r="30">
      <c r="A30" s="14" t="inlineStr">
        <is>
          <t>Receipts</t>
        </is>
      </c>
      <c r="B30" s="12">
        <f>IFERROR(IF(INDEX('Candidate Totals'!$G$6:$G$7,MATCH("Bob Brooks",'Candidate Totals'!$A$6:$A$7,0))=0,"",INDEX('Candidate Totals'!$G$6:$G$7,MATCH("Bob Brooks",'Candidate Totals'!$A$6:$A$7,0))),"")</f>
        <v/>
      </c>
      <c r="C30" s="12">
        <f>IFERROR(IF(INDEX('Candidate Totals'!$G$6:$G$7,MATCH("Ryan Mackenzie",'Candidate Totals'!$A$6:$A$7,0))=0,"",INDEX('Candidate Totals'!$G$6:$G$7,MATCH("Ryan Mackenzie",'Candidate Totals'!$A$6:$A$7,0))),"")</f>
        <v/>
      </c>
      <c r="D30" s="42">
        <f>IF(AND(ISNUMBER(C30),ISNUMBER(B30)),C30-B30,"")</f>
        <v/>
      </c>
    </row>
    <row r="31">
      <c r="A31" s="14" t="inlineStr">
        <is>
          <t>Disbursements</t>
        </is>
      </c>
      <c r="B31" s="12">
        <f>IFERROR(IF(INDEX('Candidate Totals'!$H$6:$H$7,MATCH("Bob Brooks",'Candidate Totals'!$A$6:$A$7,0))=0,"",INDEX('Candidate Totals'!$H$6:$H$7,MATCH("Bob Brooks",'Candidate Totals'!$A$6:$A$7,0))),"")</f>
        <v/>
      </c>
      <c r="C31" s="12">
        <f>IFERROR(IF(INDEX('Candidate Totals'!$H$6:$H$7,MATCH("Ryan Mackenzie",'Candidate Totals'!$A$6:$A$7,0))=0,"",INDEX('Candidate Totals'!$H$6:$H$7,MATCH("Ryan Mackenzie",'Candidate Totals'!$A$6:$A$7,0))),"")</f>
        <v/>
      </c>
      <c r="D31" s="42">
        <f>IF(AND(ISNUMBER(C31),ISNUMBER(B31)),C31-B31,"")</f>
        <v/>
      </c>
    </row>
    <row r="32">
      <c r="A32" s="14" t="inlineStr">
        <is>
          <t>Cash on hand</t>
        </is>
      </c>
      <c r="B32" s="12">
        <f>IFERROR(IF(INDEX('Candidate Totals'!$I$6:$I$7,MATCH("Bob Brooks",'Candidate Totals'!$A$6:$A$7,0))=0,"",INDEX('Candidate Totals'!$I$6:$I$7,MATCH("Bob Brooks",'Candidate Totals'!$A$6:$A$7,0))),"")</f>
        <v/>
      </c>
      <c r="C32" s="12">
        <f>IFERROR(IF(INDEX('Candidate Totals'!$I$6:$I$7,MATCH("Ryan Mackenzie",'Candidate Totals'!$A$6:$A$7,0))=0,"",INDEX('Candidate Totals'!$I$6:$I$7,MATCH("Ryan Mackenzie",'Candidate Totals'!$A$6:$A$7,0))),"")</f>
        <v/>
      </c>
      <c r="D32" s="42">
        <f>IF(AND(ISNUMBER(C32),ISNUMBER(B32)),C32-B32,"")</f>
        <v/>
      </c>
    </row>
    <row r="33">
      <c r="A33" s="14" t="inlineStr">
        <is>
          <t>Debts owed</t>
        </is>
      </c>
      <c r="B33" s="12">
        <f>IFERROR(INDEX('Candidate Totals'!$J$6:$J$7,MATCH("Bob Brooks",'Candidate Totals'!$A$6:$A$7,0)),"")</f>
        <v/>
      </c>
      <c r="C33" s="12">
        <f>IFERROR(INDEX('Candidate Totals'!$J$6:$J$7,MATCH("Ryan Mackenzie",'Candidate Totals'!$A$6:$A$7,0)),"")</f>
        <v/>
      </c>
      <c r="D33" s="42">
        <f>IF(AND(ISNUMBER(C33),ISNUMBER(B33)),C33-B33,"")</f>
        <v/>
      </c>
    </row>
    <row r="34">
      <c r="A34" s="14" t="inlineStr">
        <is>
          <t>Burn rate (disbursed / raised)</t>
        </is>
      </c>
      <c r="B34" s="22">
        <f>IF(AND(ISNUMBER(B31),ISNUMBER(B30),B30&lt;&gt;0),B31/B30,"")</f>
        <v/>
      </c>
      <c r="C34" s="22">
        <f>IF(AND(ISNUMBER(C31),ISNUMBER(C30),C30&lt;&gt;0),C31/C30,"")</f>
        <v/>
      </c>
      <c r="D34" s="43">
        <f>IF(AND(ISNUMBER(C34),ISNUMBER(B34)),C34-B34,"")</f>
        <v/>
      </c>
    </row>
    <row r="35">
      <c r="A35" s="14" t="inlineStr">
        <is>
          <t>Cash on hand / receipts</t>
        </is>
      </c>
      <c r="B35" s="22">
        <f>IF(AND(ISNUMBER(B32),ISNUMBER(B30),B30&lt;&gt;0),B32/B30,"")</f>
        <v/>
      </c>
      <c r="C35" s="22">
        <f>IF(AND(ISNUMBER(C32),ISNUMBER(C30),C30&lt;&gt;0),C32/C30,"")</f>
        <v/>
      </c>
      <c r="D35" s="43">
        <f>IF(AND(ISNUMBER(C35),ISNUMBER(B35)),C35-B35,"")</f>
        <v/>
      </c>
    </row>
    <row r="37" ht="36" customHeight="1">
      <c r="A37" s="32" t="inlineStr">
        <is>
          <t>Green figures link to Candidate Totals. Black figures are computed here. Debts are what the committee owes and are not netted out of cash on hand.</t>
        </is>
      </c>
    </row>
  </sheetData>
  <mergeCells count="1">
    <mergeCell ref="A37:E37"/>
  </mergeCells>
  <pageMargins left="0.75" right="0.75" top="1" bottom="1" header="0.5" footer="0.5"/>
</worksheet>
</file>

<file path=xl/worksheets/sheet5.xml><?xml version="1.0" encoding="utf-8"?>
<worksheet xmlns="http://schemas.openxmlformats.org/spreadsheetml/2006/main">
  <sheetPr>
    <tabColor rgb="001F3864"/>
    <outlinePr summaryBelow="1" summaryRight="1"/>
    <pageSetUpPr/>
  </sheetPr>
  <dimension ref="A1:Q14"/>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26" customWidth="1" min="1" max="1"/>
    <col width="7" customWidth="1" min="2" max="2"/>
    <col width="17" customWidth="1" min="3" max="3"/>
    <col width="10" customWidth="1" min="4" max="4"/>
    <col width="12" customWidth="1" min="5" max="5"/>
    <col width="13" customWidth="1" min="6" max="6"/>
    <col width="14" customWidth="1" min="7" max="7"/>
    <col width="14" customWidth="1" min="8" max="8"/>
    <col width="14" customWidth="1" min="9" max="9"/>
    <col width="11" customWidth="1" min="10" max="10"/>
    <col width="15" customWidth="1" min="11" max="11"/>
    <col width="16" customWidth="1" min="12" max="12"/>
    <col width="15" customWidth="1" min="13" max="13"/>
    <col width="13" customWidth="1" min="14" max="14"/>
    <col width="17" customWidth="1" min="15" max="15"/>
    <col width="15" customWidth="1" min="16" max="16"/>
    <col width="16" customWidth="1" min="17" max="17"/>
  </cols>
  <sheetData>
    <row r="1">
      <c r="A1" s="1" t="inlineStr">
        <is>
          <t>Candidate committee totals, PA-07, 2026 cycle</t>
        </is>
      </c>
    </row>
    <row r="2">
      <c r="A2" s="2" t="inlineStr">
        <is>
          <t>Cycle-to-date from each committee's latest periodic FEC report. Coverage through 2026-10-14. Retrieved 2026-10-24T13:15:11Z.</t>
        </is>
      </c>
    </row>
    <row r="4" ht="18" customHeight="1">
      <c r="A4" s="3" t="inlineStr">
        <is>
          <t>THE TWO NOMINEES</t>
        </is>
      </c>
      <c r="B4" s="4" t="n"/>
      <c r="C4" s="4" t="n"/>
      <c r="D4" s="4" t="n"/>
      <c r="E4" s="4" t="n"/>
      <c r="F4" s="4" t="n"/>
      <c r="G4" s="4" t="n"/>
      <c r="H4" s="4" t="n"/>
      <c r="I4" s="4" t="n"/>
      <c r="J4" s="4" t="n"/>
      <c r="K4" s="4" t="n"/>
      <c r="L4" s="4" t="n"/>
      <c r="M4" s="4" t="n"/>
      <c r="N4" s="4" t="n"/>
      <c r="O4" s="4" t="n"/>
      <c r="P4" s="4" t="n"/>
      <c r="Q4" s="4" t="n"/>
    </row>
    <row r="5" ht="32" customHeight="1">
      <c r="A5" s="10" t="inlineStr">
        <is>
          <t>Candidate</t>
        </is>
      </c>
      <c r="B5" s="10" t="inlineStr">
        <is>
          <t>Party</t>
        </is>
      </c>
      <c r="C5" s="10" t="inlineStr">
        <is>
          <t>Status</t>
        </is>
      </c>
      <c r="D5" s="10" t="inlineStr">
        <is>
          <t>Incumbent</t>
        </is>
      </c>
      <c r="E5" s="10" t="inlineStr">
        <is>
          <t>Filed?</t>
        </is>
      </c>
      <c r="F5" s="10" t="inlineStr">
        <is>
          <t>Coverage through</t>
        </is>
      </c>
      <c r="G5" s="10" t="inlineStr">
        <is>
          <t>Receipts</t>
        </is>
      </c>
      <c r="H5" s="10" t="inlineStr">
        <is>
          <t>Disbursements</t>
        </is>
      </c>
      <c r="I5" s="10" t="inlineStr">
        <is>
          <t>Cash on hand</t>
        </is>
      </c>
      <c r="J5" s="10" t="inlineStr">
        <is>
          <t>Debts</t>
        </is>
      </c>
      <c r="K5" s="10" t="inlineStr">
        <is>
          <t>Individual, total</t>
        </is>
      </c>
      <c r="L5" s="10" t="inlineStr">
        <is>
          <t xml:space="preserve">  of which unitemized ($200 or less)</t>
        </is>
      </c>
      <c r="M5" s="10" t="inlineStr">
        <is>
          <t>PAC contributions</t>
        </is>
      </c>
      <c r="N5" s="10" t="inlineStr">
        <is>
          <t>Party committee</t>
        </is>
      </c>
      <c r="O5" s="10" t="inlineStr">
        <is>
          <t>Transfers from other authorized committee</t>
        </is>
      </c>
      <c r="P5" s="10" t="inlineStr">
        <is>
          <t>Candidate self-funding</t>
        </is>
      </c>
      <c r="Q5" s="10" t="inlineStr">
        <is>
          <t>Other / unclassified (derived)</t>
        </is>
      </c>
    </row>
    <row r="6">
      <c r="A6" s="11" t="inlineStr">
        <is>
          <t>Bob Brooks</t>
        </is>
      </c>
      <c r="B6" s="11" t="inlineStr">
        <is>
          <t>DEM</t>
        </is>
      </c>
      <c r="C6" s="11" t="inlineStr">
        <is>
          <t>Nominee</t>
        </is>
      </c>
      <c r="D6" s="11" t="inlineStr">
        <is>
          <t>no</t>
        </is>
      </c>
      <c r="E6" s="11" t="inlineStr">
        <is>
          <t>yes</t>
        </is>
      </c>
      <c r="F6" s="11" t="inlineStr">
        <is>
          <t>2026-10-14</t>
        </is>
      </c>
      <c r="G6" s="44" t="n">
        <v>5347353.38</v>
      </c>
      <c r="H6" s="44" t="n">
        <v>4605774.87</v>
      </c>
      <c r="I6" s="44" t="n">
        <v>741578.51</v>
      </c>
      <c r="J6" s="44" t="n">
        <v>15000</v>
      </c>
      <c r="K6" s="44" t="n">
        <v>4181508.28</v>
      </c>
      <c r="L6" s="44" t="n">
        <v>1167838.9</v>
      </c>
      <c r="M6" s="44" t="n">
        <v>634750.03</v>
      </c>
      <c r="N6" s="44" t="n">
        <v>6090.07</v>
      </c>
      <c r="O6" s="44" t="n">
        <v>508989.33</v>
      </c>
      <c r="P6" s="44" t="n">
        <v>3500</v>
      </c>
      <c r="Q6" s="42">
        <f>IF(ISNUMBER(G6),G6-(K6+M6+N6+O6+P6),"")</f>
        <v/>
      </c>
    </row>
    <row r="7">
      <c r="A7" s="11" t="inlineStr">
        <is>
          <t>Ryan Mackenzie</t>
        </is>
      </c>
      <c r="B7" s="11" t="inlineStr">
        <is>
          <t>REP</t>
        </is>
      </c>
      <c r="C7" s="11" t="inlineStr">
        <is>
          <t>Nominee</t>
        </is>
      </c>
      <c r="D7" s="11" t="inlineStr">
        <is>
          <t>yes</t>
        </is>
      </c>
      <c r="E7" s="11" t="inlineStr">
        <is>
          <t>yes</t>
        </is>
      </c>
      <c r="F7" s="11" t="inlineStr">
        <is>
          <t>2026-10-14</t>
        </is>
      </c>
      <c r="G7" s="44" t="n">
        <v>5296663.91</v>
      </c>
      <c r="H7" s="44" t="n">
        <v>4329911.24</v>
      </c>
      <c r="I7" s="44" t="n">
        <v>1069992.58</v>
      </c>
      <c r="J7" s="44" t="n">
        <v>1371.28</v>
      </c>
      <c r="K7" s="44" t="n">
        <v>1902194.06</v>
      </c>
      <c r="L7" s="44" t="n">
        <v>666386.88</v>
      </c>
      <c r="M7" s="44" t="n">
        <v>1314712.78</v>
      </c>
      <c r="N7" s="44" t="n">
        <v>10000</v>
      </c>
      <c r="O7" s="44" t="n">
        <v>2020364.92</v>
      </c>
      <c r="P7" s="44" t="n">
        <v>0</v>
      </c>
      <c r="Q7" s="42">
        <f>IF(ISNUMBER(G7),G7-(K7+M7+N7+O7+P7),"")</f>
        <v/>
      </c>
    </row>
    <row r="8">
      <c r="A8" s="15" t="inlineStr">
        <is>
          <t>TOTAL, both nominees</t>
        </is>
      </c>
      <c r="B8" s="20" t="n"/>
      <c r="C8" s="20" t="n"/>
      <c r="D8" s="20" t="n"/>
      <c r="E8" s="20" t="n"/>
      <c r="F8" s="20" t="n"/>
      <c r="G8" s="17">
        <f>SUM(G6:G7)</f>
        <v/>
      </c>
      <c r="H8" s="17">
        <f>SUM(H6:H7)</f>
        <v/>
      </c>
      <c r="I8" s="17">
        <f>SUM(I6:I7)</f>
        <v/>
      </c>
      <c r="J8" s="17">
        <f>SUM(J6:J7)</f>
        <v/>
      </c>
      <c r="K8" s="17">
        <f>SUM(K6:K7)</f>
        <v/>
      </c>
      <c r="L8" s="17">
        <f>SUM(L6:L7)</f>
        <v/>
      </c>
      <c r="M8" s="17">
        <f>SUM(M6:M7)</f>
        <v/>
      </c>
      <c r="N8" s="17">
        <f>SUM(N6:N7)</f>
        <v/>
      </c>
      <c r="O8" s="17">
        <f>SUM(O6:O7)</f>
        <v/>
      </c>
      <c r="P8" s="17">
        <f>SUM(P6:P7)</f>
        <v/>
      </c>
      <c r="Q8" s="17">
        <f>SUM(Q6:Q7)</f>
        <v/>
      </c>
    </row>
    <row r="10" ht="13" customHeight="1">
      <c r="A10" s="45" t="inlineStr">
        <is>
          <t>HOW TO READ THIS TABLE</t>
        </is>
      </c>
    </row>
    <row r="11" ht="13" customHeight="1">
      <c r="A11" s="32" t="inlineStr">
        <is>
          <t>This workbook covers the two general-election nominees named in sources/race.json. The FEC lists other declared and primary candidates for the seat; they stay in sources/fec.json and are not shown.</t>
        </is>
      </c>
    </row>
    <row r="12" ht="13" customHeight="1">
      <c r="A12" s="32" t="inlineStr">
        <is>
          <t>A candidate with no periodic report on file would show BLANK financial cells, not $0. The FEC reports nothing in that case, which is a different claim from 'raised nothing'.</t>
        </is>
      </c>
    </row>
    <row r="13" ht="13" customHeight="1">
      <c r="A13" s="32" t="inlineStr">
        <is>
          <t>'of which unitemized' is a subset of 'Individual, total'. Adding it to the other source columns double-counts.</t>
        </is>
      </c>
    </row>
    <row r="14" ht="13" customHeight="1">
      <c r="A14" s="32" t="inlineStr">
        <is>
          <t>Blue figures are values from the FEC API. Black figures are formulas.</t>
        </is>
      </c>
    </row>
  </sheetData>
  <mergeCells count="5">
    <mergeCell ref="A14:Q14"/>
    <mergeCell ref="A12:Q12"/>
    <mergeCell ref="A10:Q10"/>
    <mergeCell ref="A11:Q11"/>
    <mergeCell ref="A13:Q13"/>
  </mergeCells>
  <pageMargins left="0.75" right="0.75" top="1" bottom="1" header="0.5" footer="0.5"/>
  <legacyDrawing xmlns:r="http://schemas.openxmlformats.org/officeDocument/2006/relationships" r:id="anysvml"/>
</worksheet>
</file>

<file path=xl/worksheets/sheet6.xml><?xml version="1.0" encoding="utf-8"?>
<worksheet xmlns="http://schemas.openxmlformats.org/spreadsheetml/2006/main">
  <sheetPr>
    <tabColor rgb="001F3864"/>
    <outlinePr summaryBelow="1" summaryRight="1"/>
    <pageSetUpPr/>
  </sheetPr>
  <dimension ref="A1:G60"/>
  <sheetViews>
    <sheetView workbookViewId="0">
      <pane ySplit="5" topLeftCell="A6" activePane="bottomLeft" state="frozen"/>
      <selection pane="bottomLeft" activeCell="A1" sqref="A1"/>
    </sheetView>
  </sheetViews>
  <sheetFormatPr baseColWidth="8" defaultRowHeight="15"/>
  <cols>
    <col width="46" customWidth="1" min="1" max="1"/>
    <col width="24" customWidth="1" min="2" max="2"/>
    <col width="10" customWidth="1" min="3" max="3"/>
    <col width="15" customWidth="1" min="4" max="4"/>
    <col width="8" customWidth="1" min="5" max="5"/>
    <col width="12" customWidth="1" min="6" max="6"/>
    <col width="14" customWidth="1" min="7" max="7"/>
  </cols>
  <sheetData>
    <row r="1">
      <c r="A1" s="1" t="inlineStr">
        <is>
          <t>Outside spending (independent expenditures), PA-07, 2026</t>
        </is>
      </c>
    </row>
    <row r="2">
      <c r="A2" s="2" t="inlineStr">
        <is>
          <t>Money spent by outside groups on their own to support or oppose one of the two nominees, without coordinating with the campaign. FEC's deduplicated by_candidate aggregate. Largest first. Spending about primary candidates not on the November ballot is not shown.</t>
        </is>
      </c>
    </row>
    <row r="4" ht="18" customHeight="1">
      <c r="A4" s="3" t="inlineStr">
        <is>
          <t>BY COMMITTEE</t>
        </is>
      </c>
      <c r="B4" s="4" t="n"/>
      <c r="C4" s="4" t="n"/>
      <c r="D4" s="4" t="n"/>
      <c r="E4" s="4" t="n"/>
      <c r="F4" s="4" t="n"/>
      <c r="G4" s="4" t="n"/>
    </row>
    <row r="5" ht="32" customHeight="1">
      <c r="A5" s="10" t="inlineStr">
        <is>
          <t>Committee</t>
        </is>
      </c>
      <c r="B5" s="10" t="inlineStr">
        <is>
          <t>Target candidate</t>
        </is>
      </c>
      <c r="C5" s="10" t="inlineStr">
        <is>
          <t>Stance</t>
        </is>
      </c>
      <c r="D5" s="10" t="inlineStr">
        <is>
          <t>Amount</t>
        </is>
      </c>
      <c r="E5" s="10" t="inlineStr">
        <is>
          <t>Filings</t>
        </is>
      </c>
      <c r="F5" s="10" t="inlineStr">
        <is>
          <t>Committee ID</t>
        </is>
      </c>
      <c r="G5" s="10" t="inlineStr">
        <is>
          <t>Share of all outside spending</t>
        </is>
      </c>
    </row>
    <row r="6">
      <c r="A6" s="14" t="inlineStr">
        <is>
          <t>STRONGER TOGETHER PA</t>
        </is>
      </c>
      <c r="B6" s="14" t="inlineStr">
        <is>
          <t>Bob Brooks</t>
        </is>
      </c>
      <c r="C6" s="46" t="inlineStr">
        <is>
          <t>Supports</t>
        </is>
      </c>
      <c r="D6" s="47" t="n">
        <v>1781524</v>
      </c>
      <c r="E6" s="14" t="n">
        <v>21</v>
      </c>
      <c r="F6" s="14" t="inlineStr">
        <is>
          <t>C00936153</t>
        </is>
      </c>
      <c r="G6" s="22">
        <f>IFERROR(D6/$D$44,"")</f>
        <v/>
      </c>
    </row>
    <row r="7">
      <c r="A7" s="14" t="inlineStr">
        <is>
          <t>HMP</t>
        </is>
      </c>
      <c r="B7" s="14" t="inlineStr">
        <is>
          <t>Ryan Mackenzie</t>
        </is>
      </c>
      <c r="C7" s="46" t="inlineStr">
        <is>
          <t>Opposes</t>
        </is>
      </c>
      <c r="D7" s="47" t="n">
        <v>556259.9300000001</v>
      </c>
      <c r="E7" s="14" t="n">
        <v>11</v>
      </c>
      <c r="F7" s="14" t="inlineStr">
        <is>
          <t>C00495028</t>
        </is>
      </c>
      <c r="G7" s="22">
        <f>IFERROR(D7/$D$44,"")</f>
        <v/>
      </c>
    </row>
    <row r="8">
      <c r="A8" s="14" t="inlineStr">
        <is>
          <t>LEAD LEFT PAC</t>
        </is>
      </c>
      <c r="B8" s="14" t="inlineStr">
        <is>
          <t>Bob Brooks</t>
        </is>
      </c>
      <c r="C8" s="46" t="inlineStr">
        <is>
          <t>Opposes</t>
        </is>
      </c>
      <c r="D8" s="47" t="n">
        <v>312371.76</v>
      </c>
      <c r="E8" s="14" t="n">
        <v>7</v>
      </c>
      <c r="F8" s="14" t="inlineStr">
        <is>
          <t>C00948208</t>
        </is>
      </c>
      <c r="G8" s="22">
        <f>IFERROR(D8/$D$44,"")</f>
        <v/>
      </c>
    </row>
    <row r="9">
      <c r="A9" s="14" t="inlineStr">
        <is>
          <t>JOBS AND DEMOCRACY PAC</t>
        </is>
      </c>
      <c r="B9" s="14" t="inlineStr">
        <is>
          <t>Bob Brooks</t>
        </is>
      </c>
      <c r="C9" s="46" t="inlineStr">
        <is>
          <t>Supports</t>
        </is>
      </c>
      <c r="D9" s="47" t="n">
        <v>249750</v>
      </c>
      <c r="E9" s="14" t="n">
        <v>1</v>
      </c>
      <c r="F9" s="14" t="inlineStr">
        <is>
          <t>C00928374</t>
        </is>
      </c>
      <c r="G9" s="22">
        <f>IFERROR(D9/$D$44,"")</f>
        <v/>
      </c>
    </row>
    <row r="10">
      <c r="A10" s="14" t="inlineStr">
        <is>
          <t>CONGRESSIONAL PROGRESSIVE CAUCUS PAC</t>
        </is>
      </c>
      <c r="B10" s="14" t="inlineStr">
        <is>
          <t>Bob Brooks</t>
        </is>
      </c>
      <c r="C10" s="46" t="inlineStr">
        <is>
          <t>Supports</t>
        </is>
      </c>
      <c r="D10" s="47" t="n">
        <v>140300</v>
      </c>
      <c r="E10" s="14" t="n">
        <v>2</v>
      </c>
      <c r="F10" s="14" t="inlineStr">
        <is>
          <t>C00513176</t>
        </is>
      </c>
      <c r="G10" s="22">
        <f>IFERROR(D10/$D$44,"")</f>
        <v/>
      </c>
    </row>
    <row r="11">
      <c r="A11" s="14" t="inlineStr">
        <is>
          <t>MEDICARE FOR ALL</t>
        </is>
      </c>
      <c r="B11" s="14" t="inlineStr">
        <is>
          <t>Bob Brooks</t>
        </is>
      </c>
      <c r="C11" s="46" t="inlineStr">
        <is>
          <t>Supports</t>
        </is>
      </c>
      <c r="D11" s="47" t="n">
        <v>99625</v>
      </c>
      <c r="E11" s="14" t="n">
        <v>2</v>
      </c>
      <c r="F11" s="14" t="inlineStr">
        <is>
          <t>C00685552</t>
        </is>
      </c>
      <c r="G11" s="22">
        <f>IFERROR(D11/$D$44,"")</f>
        <v/>
      </c>
    </row>
    <row r="12">
      <c r="A12" s="14" t="inlineStr">
        <is>
          <t>DLP PAC</t>
        </is>
      </c>
      <c r="B12" s="14" t="inlineStr">
        <is>
          <t>Bob Brooks</t>
        </is>
      </c>
      <c r="C12" s="46" t="inlineStr">
        <is>
          <t>Supports</t>
        </is>
      </c>
      <c r="D12" s="47" t="n">
        <v>88321.5</v>
      </c>
      <c r="E12" s="14" t="n">
        <v>4</v>
      </c>
      <c r="F12" s="14" t="inlineStr">
        <is>
          <t>C00895730</t>
        </is>
      </c>
      <c r="G12" s="22">
        <f>IFERROR(D12/$D$44,"")</f>
        <v/>
      </c>
    </row>
    <row r="13">
      <c r="A13" s="14" t="inlineStr">
        <is>
          <t>WORKING FAMILIES PARTY PAC</t>
        </is>
      </c>
      <c r="B13" s="14" t="inlineStr">
        <is>
          <t>Bob Brooks</t>
        </is>
      </c>
      <c r="C13" s="46" t="inlineStr">
        <is>
          <t>Supports</t>
        </is>
      </c>
      <c r="D13" s="47" t="n">
        <v>41020.59</v>
      </c>
      <c r="E13" s="14" t="n">
        <v>3</v>
      </c>
      <c r="F13" s="14" t="inlineStr">
        <is>
          <t>C00606962</t>
        </is>
      </c>
      <c r="G13" s="22">
        <f>IFERROR(D13/$D$44,"")</f>
        <v/>
      </c>
    </row>
    <row r="14">
      <c r="A14" s="14" t="inlineStr">
        <is>
          <t>RURAL FREEDOM NETWORK</t>
        </is>
      </c>
      <c r="B14" s="14" t="inlineStr">
        <is>
          <t>Bob Brooks</t>
        </is>
      </c>
      <c r="C14" s="46" t="inlineStr">
        <is>
          <t>Supports</t>
        </is>
      </c>
      <c r="D14" s="47" t="n">
        <v>30756.92</v>
      </c>
      <c r="E14" s="14" t="n">
        <v>5</v>
      </c>
      <c r="F14" s="14" t="inlineStr">
        <is>
          <t>C00647966</t>
        </is>
      </c>
      <c r="G14" s="22">
        <f>IFERROR(D14/$D$44,"")</f>
        <v/>
      </c>
    </row>
    <row r="15">
      <c r="A15" s="14" t="inlineStr">
        <is>
          <t>MAKE THE ROAD ACTION POLITICAL COMMITTEE</t>
        </is>
      </c>
      <c r="B15" s="14" t="inlineStr">
        <is>
          <t>Bob Brooks</t>
        </is>
      </c>
      <c r="C15" s="46" t="inlineStr">
        <is>
          <t>Supports</t>
        </is>
      </c>
      <c r="D15" s="47" t="n">
        <v>30559.95</v>
      </c>
      <c r="E15" s="14" t="n">
        <v>9</v>
      </c>
      <c r="F15" s="14" t="inlineStr">
        <is>
          <t>C00689745</t>
        </is>
      </c>
      <c r="G15" s="22">
        <f>IFERROR(D15/$D$44,"")</f>
        <v/>
      </c>
    </row>
    <row r="16">
      <c r="A16" s="14" t="inlineStr">
        <is>
          <t>HMP</t>
        </is>
      </c>
      <c r="B16" s="14" t="inlineStr">
        <is>
          <t>Bob Brooks</t>
        </is>
      </c>
      <c r="C16" s="46" t="inlineStr">
        <is>
          <t>Supports</t>
        </is>
      </c>
      <c r="D16" s="47" t="n">
        <v>30281.38</v>
      </c>
      <c r="E16" s="14" t="n">
        <v>4</v>
      </c>
      <c r="F16" s="14" t="inlineStr">
        <is>
          <t>C00495028</t>
        </is>
      </c>
      <c r="G16" s="22">
        <f>IFERROR(D16/$D$44,"")</f>
        <v/>
      </c>
    </row>
    <row r="17">
      <c r="A17" s="14" t="inlineStr">
        <is>
          <t>IN UNION USA</t>
        </is>
      </c>
      <c r="B17" s="14" t="inlineStr">
        <is>
          <t>Ryan Mackenzie</t>
        </is>
      </c>
      <c r="C17" s="46" t="inlineStr">
        <is>
          <t>Opposes</t>
        </is>
      </c>
      <c r="D17" s="47" t="n">
        <v>26382.22</v>
      </c>
      <c r="E17" s="14" t="n">
        <v>1</v>
      </c>
      <c r="F17" s="14" t="inlineStr">
        <is>
          <t>C00745745</t>
        </is>
      </c>
      <c r="G17" s="22">
        <f>IFERROR(D17/$D$44,"")</f>
        <v/>
      </c>
    </row>
    <row r="18">
      <c r="A18" s="14" t="inlineStr">
        <is>
          <t>SENIORS EMPOWERING AN EFFECTIVE DEMOCRACY (SEED-PAC)</t>
        </is>
      </c>
      <c r="B18" s="14" t="inlineStr">
        <is>
          <t>Bob Brooks</t>
        </is>
      </c>
      <c r="C18" s="46" t="inlineStr">
        <is>
          <t>Supports</t>
        </is>
      </c>
      <c r="D18" s="47" t="n">
        <v>24592.37</v>
      </c>
      <c r="E18" s="14" t="n">
        <v>4</v>
      </c>
      <c r="F18" s="14" t="inlineStr">
        <is>
          <t>C00934059</t>
        </is>
      </c>
      <c r="G18" s="22">
        <f>IFERROR(D18/$D$44,"")</f>
        <v/>
      </c>
    </row>
    <row r="19">
      <c r="A19" s="14" t="inlineStr">
        <is>
          <t>PROGRESSIVE TURNOUT PROJECT</t>
        </is>
      </c>
      <c r="B19" s="14" t="inlineStr">
        <is>
          <t>Bob Brooks</t>
        </is>
      </c>
      <c r="C19" s="46" t="inlineStr">
        <is>
          <t>Supports</t>
        </is>
      </c>
      <c r="D19" s="47" t="n">
        <v>23285.26</v>
      </c>
      <c r="E19" s="14" t="n">
        <v>1</v>
      </c>
      <c r="F19" s="14" t="inlineStr">
        <is>
          <t>C00580068</t>
        </is>
      </c>
      <c r="G19" s="22">
        <f>IFERROR(D19/$D$44,"")</f>
        <v/>
      </c>
    </row>
    <row r="20">
      <c r="A20" s="14" t="inlineStr">
        <is>
          <t>BLUE MAJORITY PROJECT</t>
        </is>
      </c>
      <c r="B20" s="14" t="inlineStr">
        <is>
          <t>Bob Brooks</t>
        </is>
      </c>
      <c r="C20" s="46" t="inlineStr">
        <is>
          <t>Supports</t>
        </is>
      </c>
      <c r="D20" s="47" t="n">
        <v>16643.34</v>
      </c>
      <c r="E20" s="14" t="n">
        <v>3</v>
      </c>
      <c r="F20" s="14" t="inlineStr">
        <is>
          <t>C00897363</t>
        </is>
      </c>
      <c r="G20" s="22">
        <f>IFERROR(D20/$D$44,"")</f>
        <v/>
      </c>
    </row>
    <row r="21">
      <c r="A21" s="14" t="inlineStr">
        <is>
          <t>THOMAS PAINE SOCIETY L.L.C.</t>
        </is>
      </c>
      <c r="B21" s="14" t="inlineStr">
        <is>
          <t>Bob Brooks</t>
        </is>
      </c>
      <c r="C21" s="46" t="inlineStr">
        <is>
          <t>Supports</t>
        </is>
      </c>
      <c r="D21" s="47" t="n">
        <v>15852</v>
      </c>
      <c r="E21" s="14" t="n">
        <v>5</v>
      </c>
      <c r="F21" s="14" t="inlineStr">
        <is>
          <t>C90020231</t>
        </is>
      </c>
      <c r="G21" s="22">
        <f>IFERROR(D21/$D$44,"")</f>
        <v/>
      </c>
    </row>
    <row r="22">
      <c r="A22" s="14" t="inlineStr">
        <is>
          <t>BLUE BATTLEGROUND PROJECT</t>
        </is>
      </c>
      <c r="B22" s="14" t="inlineStr">
        <is>
          <t>Bob Brooks</t>
        </is>
      </c>
      <c r="C22" s="46" t="inlineStr">
        <is>
          <t>Supports</t>
        </is>
      </c>
      <c r="D22" s="47" t="n">
        <v>9116.67</v>
      </c>
      <c r="E22" s="14" t="n">
        <v>1</v>
      </c>
      <c r="F22" s="14" t="inlineStr">
        <is>
          <t>C00704593</t>
        </is>
      </c>
      <c r="G22" s="22">
        <f>IFERROR(D22/$D$44,"")</f>
        <v/>
      </c>
    </row>
    <row r="23">
      <c r="A23" s="14" t="inlineStr">
        <is>
          <t>KITCHEN TABLE VALUES PAC</t>
        </is>
      </c>
      <c r="B23" s="14" t="inlineStr">
        <is>
          <t>Bob Brooks</t>
        </is>
      </c>
      <c r="C23" s="46" t="inlineStr">
        <is>
          <t>Opposes</t>
        </is>
      </c>
      <c r="D23" s="47" t="n">
        <v>8840</v>
      </c>
      <c r="E23" s="14" t="n">
        <v>5</v>
      </c>
      <c r="F23" s="14" t="inlineStr">
        <is>
          <t>C00924159</t>
        </is>
      </c>
      <c r="G23" s="22">
        <f>IFERROR(D23/$D$44,"")</f>
        <v/>
      </c>
    </row>
    <row r="24">
      <c r="A24" s="14" t="inlineStr">
        <is>
          <t>YOUTH SAVE DEMOCRACY PAC</t>
        </is>
      </c>
      <c r="B24" s="14" t="inlineStr">
        <is>
          <t>Ryan Mackenzie</t>
        </is>
      </c>
      <c r="C24" s="46" t="inlineStr">
        <is>
          <t>Opposes</t>
        </is>
      </c>
      <c r="D24" s="47" t="n">
        <v>6044</v>
      </c>
      <c r="E24" s="14" t="n">
        <v>1</v>
      </c>
      <c r="F24" s="14" t="inlineStr">
        <is>
          <t>C00832493</t>
        </is>
      </c>
      <c r="G24" s="22">
        <f>IFERROR(D24/$D$44,"")</f>
        <v/>
      </c>
    </row>
    <row r="25">
      <c r="A25" s="14" t="inlineStr">
        <is>
          <t>MAJORITY BLUE PAC</t>
        </is>
      </c>
      <c r="B25" s="14" t="inlineStr">
        <is>
          <t>Bob Brooks</t>
        </is>
      </c>
      <c r="C25" s="46" t="inlineStr">
        <is>
          <t>Supports</t>
        </is>
      </c>
      <c r="D25" s="47" t="n">
        <v>4941.66</v>
      </c>
      <c r="E25" s="14" t="n">
        <v>2</v>
      </c>
      <c r="F25" s="14" t="inlineStr">
        <is>
          <t>C00948000</t>
        </is>
      </c>
      <c r="G25" s="22">
        <f>IFERROR(D25/$D$44,"")</f>
        <v/>
      </c>
    </row>
    <row r="26">
      <c r="A26" s="14" t="inlineStr">
        <is>
          <t>BLUE SHIFT PAC</t>
        </is>
      </c>
      <c r="B26" s="14" t="inlineStr">
        <is>
          <t>Bob Brooks</t>
        </is>
      </c>
      <c r="C26" s="46" t="inlineStr">
        <is>
          <t>Supports</t>
        </is>
      </c>
      <c r="D26" s="47" t="n">
        <v>4708.33</v>
      </c>
      <c r="E26" s="14" t="n">
        <v>2</v>
      </c>
      <c r="F26" s="14" t="inlineStr">
        <is>
          <t>C00933614</t>
        </is>
      </c>
      <c r="G26" s="22">
        <f>IFERROR(D26/$D$44,"")</f>
        <v/>
      </c>
    </row>
    <row r="27">
      <c r="A27" s="14" t="inlineStr">
        <is>
          <t>FF PAC</t>
        </is>
      </c>
      <c r="B27" s="14" t="inlineStr">
        <is>
          <t>Bob Brooks</t>
        </is>
      </c>
      <c r="C27" s="46" t="inlineStr">
        <is>
          <t>Supports</t>
        </is>
      </c>
      <c r="D27" s="47" t="n">
        <v>4500</v>
      </c>
      <c r="E27" s="14" t="n">
        <v>2</v>
      </c>
      <c r="F27" s="14" t="inlineStr">
        <is>
          <t>C00669259</t>
        </is>
      </c>
      <c r="G27" s="22">
        <f>IFERROR(D27/$D$44,"")</f>
        <v/>
      </c>
    </row>
    <row r="28">
      <c r="A28" s="14" t="inlineStr">
        <is>
          <t>SEIU COPE (SERVICE EMPLOYEES INTERNATIONAL UNION COMMITTEE ON POLITICAL EDUCATION)</t>
        </is>
      </c>
      <c r="B28" s="14" t="inlineStr">
        <is>
          <t>Bob Brooks</t>
        </is>
      </c>
      <c r="C28" s="46" t="inlineStr">
        <is>
          <t>Supports</t>
        </is>
      </c>
      <c r="D28" s="47" t="n">
        <v>3140.99</v>
      </c>
      <c r="E28" s="14" t="n">
        <v>3</v>
      </c>
      <c r="F28" s="14" t="inlineStr">
        <is>
          <t>C00004036</t>
        </is>
      </c>
      <c r="G28" s="22">
        <f>IFERROR(D28/$D$44,"")</f>
        <v/>
      </c>
    </row>
    <row r="29">
      <c r="A29" s="14" t="inlineStr">
        <is>
          <t>DEMOCRATIC FUTURE PAC</t>
        </is>
      </c>
      <c r="B29" s="14" t="inlineStr">
        <is>
          <t>Bob Brooks</t>
        </is>
      </c>
      <c r="C29" s="46" t="inlineStr">
        <is>
          <t>Supports</t>
        </is>
      </c>
      <c r="D29" s="47" t="n">
        <v>2600</v>
      </c>
      <c r="E29" s="14" t="n">
        <v>2</v>
      </c>
      <c r="F29" s="14" t="inlineStr">
        <is>
          <t>C00934273</t>
        </is>
      </c>
      <c r="G29" s="22">
        <f>IFERROR(D29/$D$44,"")</f>
        <v/>
      </c>
    </row>
    <row r="30">
      <c r="A30" s="14" t="inlineStr">
        <is>
          <t>INDIGO PAC</t>
        </is>
      </c>
      <c r="B30" s="14" t="inlineStr">
        <is>
          <t>Ryan Mackenzie</t>
        </is>
      </c>
      <c r="C30" s="46" t="inlineStr">
        <is>
          <t>Opposes</t>
        </is>
      </c>
      <c r="D30" s="47" t="n">
        <v>1835.77</v>
      </c>
      <c r="E30" s="14" t="n">
        <v>10</v>
      </c>
      <c r="F30" s="14" t="inlineStr">
        <is>
          <t>C00909465</t>
        </is>
      </c>
      <c r="G30" s="22">
        <f>IFERROR(D30/$D$44,"")</f>
        <v/>
      </c>
    </row>
    <row r="31">
      <c r="A31" s="14" t="inlineStr">
        <is>
          <t>ACTIVATE AMERICA</t>
        </is>
      </c>
      <c r="B31" s="14" t="inlineStr">
        <is>
          <t>Ryan Mackenzie</t>
        </is>
      </c>
      <c r="C31" s="46" t="inlineStr">
        <is>
          <t>Opposes</t>
        </is>
      </c>
      <c r="D31" s="47" t="n">
        <v>1702.29</v>
      </c>
      <c r="E31" s="14" t="n">
        <v>4</v>
      </c>
      <c r="F31" s="14" t="inlineStr">
        <is>
          <t>C00640300</t>
        </is>
      </c>
      <c r="G31" s="22">
        <f>IFERROR(D31/$D$44,"")</f>
        <v/>
      </c>
    </row>
    <row r="32">
      <c r="A32" s="14" t="inlineStr">
        <is>
          <t>RURAL FREEDOM NETWORK</t>
        </is>
      </c>
      <c r="B32" s="14" t="inlineStr">
        <is>
          <t>Ryan Mackenzie</t>
        </is>
      </c>
      <c r="C32" s="46" t="inlineStr">
        <is>
          <t>Opposes</t>
        </is>
      </c>
      <c r="D32" s="47" t="n">
        <v>1517.06</v>
      </c>
      <c r="E32" s="14" t="n">
        <v>1</v>
      </c>
      <c r="F32" s="14" t="inlineStr">
        <is>
          <t>C00647966</t>
        </is>
      </c>
      <c r="G32" s="22">
        <f>IFERROR(D32/$D$44,"")</f>
        <v/>
      </c>
    </row>
    <row r="33">
      <c r="A33" s="14" t="inlineStr">
        <is>
          <t>FIELD TEAM 6, INC.</t>
        </is>
      </c>
      <c r="B33" s="14" t="inlineStr">
        <is>
          <t>Bob Brooks</t>
        </is>
      </c>
      <c r="C33" s="46" t="inlineStr">
        <is>
          <t>Supports</t>
        </is>
      </c>
      <c r="D33" s="47" t="n">
        <v>1299.08</v>
      </c>
      <c r="E33" s="14" t="n">
        <v>6</v>
      </c>
      <c r="F33" s="14" t="inlineStr">
        <is>
          <t>C00909994</t>
        </is>
      </c>
      <c r="G33" s="22">
        <f>IFERROR(D33/$D$44,"")</f>
        <v/>
      </c>
    </row>
    <row r="34">
      <c r="A34" s="14" t="inlineStr">
        <is>
          <t>FIELD TEAM 6, INC.</t>
        </is>
      </c>
      <c r="B34" s="14" t="inlineStr">
        <is>
          <t>Ryan Mackenzie</t>
        </is>
      </c>
      <c r="C34" s="46" t="inlineStr">
        <is>
          <t>Opposes</t>
        </is>
      </c>
      <c r="D34" s="47" t="n">
        <v>1096.69</v>
      </c>
      <c r="E34" s="14" t="n">
        <v>2</v>
      </c>
      <c r="F34" s="14" t="inlineStr">
        <is>
          <t>C00909994</t>
        </is>
      </c>
      <c r="G34" s="22">
        <f>IFERROR(D34/$D$44,"")</f>
        <v/>
      </c>
    </row>
    <row r="35">
      <c r="A35" s="14" t="inlineStr">
        <is>
          <t>BLUE DEMOCRACY NETWORK</t>
        </is>
      </c>
      <c r="B35" s="14" t="inlineStr">
        <is>
          <t>Bob Brooks</t>
        </is>
      </c>
      <c r="C35" s="46" t="inlineStr">
        <is>
          <t>Supports</t>
        </is>
      </c>
      <c r="D35" s="47" t="n">
        <v>1075</v>
      </c>
      <c r="E35" s="14" t="n">
        <v>2</v>
      </c>
      <c r="F35" s="14" t="inlineStr">
        <is>
          <t>C00933796</t>
        </is>
      </c>
      <c r="G35" s="22">
        <f>IFERROR(D35/$D$44,"")</f>
        <v/>
      </c>
    </row>
    <row r="36">
      <c r="A36" s="14" t="inlineStr">
        <is>
          <t>BLUE MAJORITY MAKERS PAC</t>
        </is>
      </c>
      <c r="B36" s="14" t="inlineStr">
        <is>
          <t>Bob Brooks</t>
        </is>
      </c>
      <c r="C36" s="46" t="inlineStr">
        <is>
          <t>Supports</t>
        </is>
      </c>
      <c r="D36" s="47" t="n">
        <v>766.66</v>
      </c>
      <c r="E36" s="14" t="n">
        <v>2</v>
      </c>
      <c r="F36" s="14" t="inlineStr">
        <is>
          <t>C00948109</t>
        </is>
      </c>
      <c r="G36" s="22">
        <f>IFERROR(D36/$D$44,"")</f>
        <v/>
      </c>
    </row>
    <row r="37">
      <c r="A37" s="14" t="inlineStr">
        <is>
          <t>PEOPLE'S ACTION POWER</t>
        </is>
      </c>
      <c r="B37" s="14" t="inlineStr">
        <is>
          <t>Bob Brooks</t>
        </is>
      </c>
      <c r="C37" s="46" t="inlineStr">
        <is>
          <t>Supports</t>
        </is>
      </c>
      <c r="D37" s="47" t="n">
        <v>530.05</v>
      </c>
      <c r="E37" s="14" t="n">
        <v>1</v>
      </c>
      <c r="F37" s="14" t="inlineStr">
        <is>
          <t>C00738237</t>
        </is>
      </c>
      <c r="G37" s="22">
        <f>IFERROR(D37/$D$44,"")</f>
        <v/>
      </c>
    </row>
    <row r="38">
      <c r="A38" s="14" t="inlineStr">
        <is>
          <t>PLANNED PARENTHOOD VOTES</t>
        </is>
      </c>
      <c r="B38" s="14" t="inlineStr">
        <is>
          <t>Ryan Mackenzie</t>
        </is>
      </c>
      <c r="C38" s="46" t="inlineStr">
        <is>
          <t>Opposes</t>
        </is>
      </c>
      <c r="D38" s="47" t="n">
        <v>197.19</v>
      </c>
      <c r="E38" s="14" t="n">
        <v>3</v>
      </c>
      <c r="F38" s="14" t="inlineStr">
        <is>
          <t>C00489799</t>
        </is>
      </c>
      <c r="G38" s="22">
        <f>IFERROR(D38/$D$44,"")</f>
        <v/>
      </c>
    </row>
    <row r="39">
      <c r="A39" s="14" t="inlineStr">
        <is>
          <t>SURJ PAC</t>
        </is>
      </c>
      <c r="B39" s="14" t="inlineStr">
        <is>
          <t>Bob Brooks</t>
        </is>
      </c>
      <c r="C39" s="46" t="inlineStr">
        <is>
          <t>Supports</t>
        </is>
      </c>
      <c r="D39" s="47" t="n">
        <v>187.51</v>
      </c>
      <c r="E39" s="14" t="n">
        <v>1</v>
      </c>
      <c r="F39" s="14" t="inlineStr">
        <is>
          <t>C00742205</t>
        </is>
      </c>
      <c r="G39" s="22">
        <f>IFERROR(D39/$D$44,"")</f>
        <v/>
      </c>
    </row>
    <row r="40">
      <c r="A40" s="14" t="inlineStr">
        <is>
          <t>THE PEOPLE UNITED PAC</t>
        </is>
      </c>
      <c r="B40" s="14" t="inlineStr">
        <is>
          <t>Bob Brooks</t>
        </is>
      </c>
      <c r="C40" s="46" t="inlineStr">
        <is>
          <t>Supports</t>
        </is>
      </c>
      <c r="D40" s="47" t="n">
        <v>50</v>
      </c>
      <c r="E40" s="14" t="n">
        <v>1</v>
      </c>
      <c r="F40" s="14" t="inlineStr">
        <is>
          <t>C00776419</t>
        </is>
      </c>
      <c r="G40" s="22">
        <f>IFERROR(D40/$D$44,"")</f>
        <v/>
      </c>
    </row>
    <row r="41">
      <c r="A41" s="14" t="inlineStr">
        <is>
          <t>GIVEGREEN UNITED ACTION</t>
        </is>
      </c>
      <c r="B41" s="14" t="inlineStr">
        <is>
          <t>Bob Brooks</t>
        </is>
      </c>
      <c r="C41" s="46" t="inlineStr">
        <is>
          <t>Supports</t>
        </is>
      </c>
      <c r="D41" s="47" t="n">
        <v>36.54</v>
      </c>
      <c r="E41" s="14" t="n">
        <v>2</v>
      </c>
      <c r="F41" s="14" t="inlineStr">
        <is>
          <t>C00802389</t>
        </is>
      </c>
      <c r="G41" s="22">
        <f>IFERROR(D41/$D$44,"")</f>
        <v/>
      </c>
    </row>
    <row r="42">
      <c r="A42" s="14" t="inlineStr">
        <is>
          <t>PENNSYLVANIA PRO-LIFE FEDERATION PAC</t>
        </is>
      </c>
      <c r="B42" s="14" t="inlineStr">
        <is>
          <t>Bob Brooks</t>
        </is>
      </c>
      <c r="C42" s="46" t="inlineStr">
        <is>
          <t>Opposes</t>
        </is>
      </c>
      <c r="D42" s="47" t="n">
        <v>22.94</v>
      </c>
      <c r="E42" s="14" t="n">
        <v>1</v>
      </c>
      <c r="F42" s="14" t="inlineStr">
        <is>
          <t>C00172361</t>
        </is>
      </c>
      <c r="G42" s="22">
        <f>IFERROR(D42/$D$44,"")</f>
        <v/>
      </c>
    </row>
    <row r="43">
      <c r="A43" s="14" t="inlineStr">
        <is>
          <t>PENNSYLVANIA PRO-LIFE FEDERATION PAC</t>
        </is>
      </c>
      <c r="B43" s="14" t="inlineStr">
        <is>
          <t>Ryan Mackenzie</t>
        </is>
      </c>
      <c r="C43" s="46" t="inlineStr">
        <is>
          <t>Supports</t>
        </is>
      </c>
      <c r="D43" s="47" t="n">
        <v>22.94</v>
      </c>
      <c r="E43" s="14" t="n">
        <v>1</v>
      </c>
      <c r="F43" s="14" t="inlineStr">
        <is>
          <t>C00172361</t>
        </is>
      </c>
      <c r="G43" s="22">
        <f>IFERROR(D43/$D$44,"")</f>
        <v/>
      </c>
    </row>
    <row r="44">
      <c r="A44" s="15" t="inlineStr">
        <is>
          <t>TOTAL</t>
        </is>
      </c>
      <c r="B44" s="20" t="n"/>
      <c r="C44" s="20" t="n"/>
      <c r="D44" s="48">
        <f>SUM(D6:D43)</f>
        <v/>
      </c>
      <c r="E44" s="20" t="n"/>
      <c r="F44" s="20" t="n"/>
      <c r="G44" s="39">
        <f>IFERROR(SUM(G6:G43),"")</f>
        <v/>
      </c>
    </row>
    <row r="46" ht="18" customHeight="1">
      <c r="A46" s="3" t="inlineStr">
        <is>
          <t>BY TARGET CANDIDATE AND STANCE</t>
        </is>
      </c>
      <c r="B46" s="4" t="n"/>
      <c r="C46" s="4" t="n"/>
      <c r="D46" s="4" t="n"/>
      <c r="E46" s="4" t="n"/>
      <c r="F46" s="4" t="n"/>
      <c r="G46" s="4" t="n"/>
    </row>
    <row r="47" ht="32" customHeight="1">
      <c r="A47" s="10" t="inlineStr">
        <is>
          <t>Target candidate</t>
        </is>
      </c>
      <c r="B47" s="10" t="inlineStr">
        <is>
          <t>Stance</t>
        </is>
      </c>
      <c r="C47" s="10" t="inlineStr">
        <is>
          <t>Amount</t>
        </is>
      </c>
      <c r="D47" s="10" t="inlineStr">
        <is>
          <t>Committees</t>
        </is>
      </c>
      <c r="E47" s="10" t="inlineStr">
        <is>
          <t>Share</t>
        </is>
      </c>
      <c r="F47" s="10" t="inlineStr"/>
      <c r="G47" s="10" t="inlineStr"/>
    </row>
    <row r="48">
      <c r="A48" s="14" t="inlineStr">
        <is>
          <t>Bob Brooks</t>
        </is>
      </c>
      <c r="B48" s="14" t="inlineStr">
        <is>
          <t>Supports</t>
        </is>
      </c>
      <c r="C48" s="42">
        <f>SUMIFS($D$6:$D$43,$B$6:$B$43,A48,$C$6:$C$43,B48)</f>
        <v/>
      </c>
      <c r="D48" s="14">
        <f>COUNTIFS($B$6:$B$43,A48,$C$6:$C$43,B48)</f>
        <v/>
      </c>
      <c r="E48" s="22">
        <f>IFERROR(C48/$D$44,"")</f>
        <v/>
      </c>
    </row>
    <row r="49">
      <c r="A49" s="14" t="inlineStr">
        <is>
          <t>Bob Brooks</t>
        </is>
      </c>
      <c r="B49" s="14" t="inlineStr">
        <is>
          <t>Opposes</t>
        </is>
      </c>
      <c r="C49" s="42">
        <f>SUMIFS($D$6:$D$43,$B$6:$B$43,A49,$C$6:$C$43,B49)</f>
        <v/>
      </c>
      <c r="D49" s="14">
        <f>COUNTIFS($B$6:$B$43,A49,$C$6:$C$43,B49)</f>
        <v/>
      </c>
      <c r="E49" s="22">
        <f>IFERROR(C49/$D$44,"")</f>
        <v/>
      </c>
    </row>
    <row r="50">
      <c r="A50" s="14" t="inlineStr">
        <is>
          <t>Ryan Mackenzie</t>
        </is>
      </c>
      <c r="B50" s="14" t="inlineStr">
        <is>
          <t>Supports</t>
        </is>
      </c>
      <c r="C50" s="42">
        <f>SUMIFS($D$6:$D$43,$B$6:$B$43,A50,$C$6:$C$43,B50)</f>
        <v/>
      </c>
      <c r="D50" s="14">
        <f>COUNTIFS($B$6:$B$43,A50,$C$6:$C$43,B50)</f>
        <v/>
      </c>
      <c r="E50" s="22">
        <f>IFERROR(C50/$D$44,"")</f>
        <v/>
      </c>
    </row>
    <row r="51">
      <c r="A51" s="14" t="inlineStr">
        <is>
          <t>Ryan Mackenzie</t>
        </is>
      </c>
      <c r="B51" s="14" t="inlineStr">
        <is>
          <t>Opposes</t>
        </is>
      </c>
      <c r="C51" s="42">
        <f>SUMIFS($D$6:$D$43,$B$6:$B$43,A51,$C$6:$C$43,B51)</f>
        <v/>
      </c>
      <c r="D51" s="14">
        <f>COUNTIFS($B$6:$B$43,A51,$C$6:$C$43,B51)</f>
        <v/>
      </c>
      <c r="E51" s="22">
        <f>IFERROR(C51/$D$44,"")</f>
        <v/>
      </c>
    </row>
    <row r="52">
      <c r="A52" s="15" t="inlineStr">
        <is>
          <t>TOTAL</t>
        </is>
      </c>
      <c r="B52" s="20" t="n"/>
      <c r="C52" s="17">
        <f>SUM(C48:C51)</f>
        <v/>
      </c>
      <c r="D52" s="15">
        <f>SUM(D48:D51)</f>
        <v/>
      </c>
      <c r="E52" s="20" t="n"/>
    </row>
    <row r="54" ht="13" customHeight="1">
      <c r="A54" s="45" t="inlineStr">
        <is>
          <t>HOW TO READ OUTSIDE SPENDING</t>
        </is>
      </c>
    </row>
    <row r="55" ht="36" customHeight="1">
      <c r="A55" s="32" t="inlineStr">
        <is>
          <t>- Candidate totals are cycle-to-date from each committee's most recent periodic report (FEC Form 3). Independent expenditures report continuously and are usually fresher than the candidate totals; the two are not as of the same date.</t>
        </is>
      </c>
    </row>
    <row r="56" ht="36" customHeight="1">
      <c r="A56" s="32" t="inlineStr">
        <is>
          <t>- Independent expenditures come from OpenFEC's schedules/schedule_e/by_candidate aggregate, FEC's own deduplication of amended and superseded filings. Summing raw itemized Schedule E lines instead would roughly double the figure and would be wrong.</t>
        </is>
      </c>
    </row>
    <row r="57" ht="24" customHeight="1">
      <c r="A57" s="32" t="inlineStr">
        <is>
          <t>- That aggregate can lag a 24-hour notice by several weeks. Spending reported by notice in the last month may not yet appear here.</t>
        </is>
      </c>
    </row>
    <row r="58" ht="24" customHeight="1">
      <c r="A58" s="32" t="inlineStr">
        <is>
          <t>- Candidates with no periodic report on file show blank fields, not $0. The FEC reports no figures for them, which is not the same as a confirmed zero.</t>
        </is>
      </c>
    </row>
    <row r="59" ht="48" customHeight="1">
      <c r="A59" s="32" t="inlineStr">
        <is>
          <t>- 'PAC contributions' is FEC's other_political_committee_contributions: money given directly to the campaign by other political committees. It is a different thing from independent expenditures, which are spent by outside groups on their own and never pass through the campaign.</t>
        </is>
      </c>
    </row>
    <row r="60" ht="24" customHeight="1">
      <c r="A60" s="32" t="inlineStr">
        <is>
          <t>- 'Self-funding' is FEC's candidate_contribution: the candidate's own money given or loaned to the campaign this cycle.</t>
        </is>
      </c>
    </row>
  </sheetData>
  <mergeCells count="7">
    <mergeCell ref="A60:G60"/>
    <mergeCell ref="A58:G58"/>
    <mergeCell ref="A56:G56"/>
    <mergeCell ref="A55:G55"/>
    <mergeCell ref="A54:G54"/>
    <mergeCell ref="A59:G59"/>
    <mergeCell ref="A57:G57"/>
  </mergeCells>
  <pageMargins left="0.75" right="0.75" top="1" bottom="1" header="0.5" footer="0.5"/>
</worksheet>
</file>

<file path=xl/worksheets/sheet7.xml><?xml version="1.0" encoding="utf-8"?>
<worksheet xmlns="http://schemas.openxmlformats.org/spreadsheetml/2006/main">
  <sheetPr>
    <tabColor rgb="001F3864"/>
    <outlinePr summaryBelow="1" summaryRight="1"/>
    <pageSetUpPr/>
  </sheetPr>
  <dimension ref="A1:G75"/>
  <sheetViews>
    <sheetView workbookViewId="0">
      <selection activeCell="A1" sqref="A1"/>
    </sheetView>
  </sheetViews>
  <sheetFormatPr baseColWidth="8" defaultRowHeight="15"/>
  <cols>
    <col width="30" customWidth="1" min="1" max="1"/>
    <col width="15" customWidth="1" min="2" max="2"/>
    <col width="9" customWidth="1" min="3" max="3"/>
    <col width="8" customWidth="1" min="4" max="4"/>
    <col width="15" customWidth="1" min="5" max="5"/>
    <col width="9" customWidth="1" min="6" max="6"/>
    <col width="8" customWidth="1" min="7" max="7"/>
  </cols>
  <sheetData>
    <row r="1">
      <c r="A1" s="1" t="inlineStr">
        <is>
          <t>What each nominee's campaign spent its money on</t>
        </is>
      </c>
    </row>
    <row r="2">
      <c r="A2" s="2" t="inlineStr">
        <is>
          <t>Itemized disbursements (each over $200), 2026 cycle, through 2026-10-14. Categories assigned from the description on each report. Retrieved 2026-10-23T15:04:41Z.</t>
        </is>
      </c>
    </row>
    <row r="4" ht="18" customHeight="1">
      <c r="A4" s="3" t="inlineStr">
        <is>
          <t>SPENDING BY CATEGORY</t>
        </is>
      </c>
      <c r="B4" s="4" t="n"/>
      <c r="C4" s="4" t="n"/>
      <c r="D4" s="4" t="n"/>
      <c r="E4" s="4" t="n"/>
      <c r="F4" s="4" t="n"/>
      <c r="G4" s="4" t="n"/>
    </row>
    <row r="5" ht="32" customHeight="1">
      <c r="A5" s="10" t="inlineStr">
        <is>
          <t>Category</t>
        </is>
      </c>
      <c r="B5" s="10" t="inlineStr">
        <is>
          <t>Bob Brooks (D)</t>
        </is>
      </c>
      <c r="C5" s="10" t="inlineStr">
        <is>
          <t>Share</t>
        </is>
      </c>
      <c r="D5" s="10" t="inlineStr">
        <is>
          <t>Items</t>
        </is>
      </c>
      <c r="E5" s="10" t="inlineStr">
        <is>
          <t>Ryan Mackenzie (R)</t>
        </is>
      </c>
      <c r="F5" s="10" t="inlineStr">
        <is>
          <t>Share</t>
        </is>
      </c>
      <c r="G5" s="10" t="inlineStr">
        <is>
          <t>Items</t>
        </is>
      </c>
    </row>
    <row r="6">
      <c r="A6" s="14" t="inlineStr">
        <is>
          <t>Refunds</t>
        </is>
      </c>
      <c r="B6" s="44" t="n">
        <v>10375</v>
      </c>
      <c r="C6" s="22">
        <f>IF(AND(ISNUMBER(B6),ISNUMBER(B23),B23&lt;&gt;0),B6/B23,"")</f>
        <v/>
      </c>
      <c r="D6" s="49" t="n">
        <v>12</v>
      </c>
      <c r="E6" s="44" t="n">
        <v>23204.28</v>
      </c>
      <c r="F6" s="22">
        <f>IF(AND(ISNUMBER(E6),ISNUMBER(E23),E23&lt;&gt;0),E6/E23,"")</f>
        <v/>
      </c>
      <c r="G6" s="49" t="n">
        <v>65</v>
      </c>
    </row>
    <row r="7">
      <c r="A7" s="14" t="inlineStr">
        <is>
          <t>Fundraising</t>
        </is>
      </c>
      <c r="B7" s="44" t="n">
        <v>105581.67</v>
      </c>
      <c r="C7" s="22">
        <f>IF(AND(ISNUMBER(B7),ISNUMBER(B23),B23&lt;&gt;0),B7/B23,"")</f>
        <v/>
      </c>
      <c r="D7" s="49" t="n">
        <v>169</v>
      </c>
      <c r="E7" s="44" t="n">
        <v>1017403.05</v>
      </c>
      <c r="F7" s="22">
        <f>IF(AND(ISNUMBER(E7),ISNUMBER(E23),E23&lt;&gt;0),E7/E23,"")</f>
        <v/>
      </c>
      <c r="G7" s="49" t="n">
        <v>508</v>
      </c>
    </row>
    <row r="8">
      <c r="A8" s="14" t="inlineStr">
        <is>
          <t>Television advertising</t>
        </is>
      </c>
      <c r="B8" s="44" t="n">
        <v>521229</v>
      </c>
      <c r="C8" s="22">
        <f>IF(AND(ISNUMBER(B8),ISNUMBER(B23),B23&lt;&gt;0),B8/B23,"")</f>
        <v/>
      </c>
      <c r="D8" s="49" t="n">
        <v>9</v>
      </c>
      <c r="E8" s="44" t="n">
        <v>0</v>
      </c>
      <c r="F8" s="22">
        <f>IF(AND(ISNUMBER(E8),ISNUMBER(E23),E23&lt;&gt;0),E8/E23,"")</f>
        <v/>
      </c>
      <c r="G8" s="49" t="n">
        <v>0</v>
      </c>
    </row>
    <row r="9">
      <c r="A9" s="14" t="inlineStr">
        <is>
          <t>Digital advertising</t>
        </is>
      </c>
      <c r="B9" s="44" t="n">
        <v>258938.16</v>
      </c>
      <c r="C9" s="22">
        <f>IF(AND(ISNUMBER(B9),ISNUMBER(B23),B23&lt;&gt;0),B9/B23,"")</f>
        <v/>
      </c>
      <c r="D9" s="49" t="n">
        <v>19</v>
      </c>
      <c r="E9" s="44" t="n">
        <v>2586</v>
      </c>
      <c r="F9" s="22">
        <f>IF(AND(ISNUMBER(E9),ISNUMBER(E23),E23&lt;&gt;0),E9/E23,"")</f>
        <v/>
      </c>
      <c r="G9" s="49" t="n">
        <v>2</v>
      </c>
    </row>
    <row r="10">
      <c r="A10" s="14" t="inlineStr">
        <is>
          <t>Print and radio advertising</t>
        </is>
      </c>
      <c r="B10" s="44" t="n">
        <v>0</v>
      </c>
      <c r="C10" s="22">
        <f>IF(AND(ISNUMBER(B10),ISNUMBER(B23),B23&lt;&gt;0),B10/B23,"")</f>
        <v/>
      </c>
      <c r="D10" s="49" t="n">
        <v>0</v>
      </c>
      <c r="E10" s="44" t="n">
        <v>3000</v>
      </c>
      <c r="F10" s="22">
        <f>IF(AND(ISNUMBER(E10),ISNUMBER(E23),E23&lt;&gt;0),E10/E23,"")</f>
        <v/>
      </c>
      <c r="G10" s="49" t="n">
        <v>3</v>
      </c>
    </row>
    <row r="11">
      <c r="A11" s="14" t="inlineStr">
        <is>
          <t>Media production</t>
        </is>
      </c>
      <c r="B11" s="44" t="n">
        <v>34156.56</v>
      </c>
      <c r="C11" s="22">
        <f>IF(AND(ISNUMBER(B11),ISNUMBER(B23),B23&lt;&gt;0),B11/B23,"")</f>
        <v/>
      </c>
      <c r="D11" s="49" t="n">
        <v>5</v>
      </c>
      <c r="E11" s="44" t="n">
        <v>11600</v>
      </c>
      <c r="F11" s="22">
        <f>IF(AND(ISNUMBER(E11),ISNUMBER(E23),E23&lt;&gt;0),E11/E23,"")</f>
        <v/>
      </c>
      <c r="G11" s="49" t="n">
        <v>4</v>
      </c>
    </row>
    <row r="12">
      <c r="A12" s="14" t="inlineStr">
        <is>
          <t>Polling and research</t>
        </is>
      </c>
      <c r="B12" s="44" t="n">
        <v>41005</v>
      </c>
      <c r="C12" s="22">
        <f>IF(AND(ISNUMBER(B12),ISNUMBER(B23),B23&lt;&gt;0),B12/B23,"")</f>
        <v/>
      </c>
      <c r="D12" s="49" t="n">
        <v>8</v>
      </c>
      <c r="E12" s="44" t="n">
        <v>41376.2</v>
      </c>
      <c r="F12" s="22">
        <f>IF(AND(ISNUMBER(E12),ISNUMBER(E23),E23&lt;&gt;0),E12/E23,"")</f>
        <v/>
      </c>
      <c r="G12" s="49" t="n">
        <v>19</v>
      </c>
    </row>
    <row r="13">
      <c r="A13" s="14" t="inlineStr">
        <is>
          <t>Staff and payroll</t>
        </is>
      </c>
      <c r="B13" s="44" t="n">
        <v>204066.98</v>
      </c>
      <c r="C13" s="22">
        <f>IF(AND(ISNUMBER(B13),ISNUMBER(B23),B23&lt;&gt;0),B13/B23,"")</f>
        <v/>
      </c>
      <c r="D13" s="49" t="n">
        <v>61</v>
      </c>
      <c r="E13" s="44" t="n">
        <v>3465</v>
      </c>
      <c r="F13" s="22">
        <f>IF(AND(ISNUMBER(E13),ISNUMBER(E23),E23&lt;&gt;0),E13/E23,"")</f>
        <v/>
      </c>
      <c r="G13" s="49" t="n">
        <v>2</v>
      </c>
    </row>
    <row r="14">
      <c r="A14" s="14" t="inlineStr">
        <is>
          <t>Field, phones and texting</t>
        </is>
      </c>
      <c r="B14" s="44" t="n">
        <v>49977.25</v>
      </c>
      <c r="C14" s="22">
        <f>IF(AND(ISNUMBER(B14),ISNUMBER(B23),B23&lt;&gt;0),B14/B23,"")</f>
        <v/>
      </c>
      <c r="D14" s="49" t="n">
        <v>16</v>
      </c>
      <c r="E14" s="44" t="n">
        <v>850</v>
      </c>
      <c r="F14" s="22">
        <f>IF(AND(ISNUMBER(E14),ISNUMBER(E23),E23&lt;&gt;0),E14/E23,"")</f>
        <v/>
      </c>
      <c r="G14" s="49" t="n">
        <v>1</v>
      </c>
    </row>
    <row r="15">
      <c r="A15" s="14" t="inlineStr">
        <is>
          <t>Office and administrative</t>
        </is>
      </c>
      <c r="B15" s="44" t="n">
        <v>94451.94</v>
      </c>
      <c r="C15" s="22">
        <f>IF(AND(ISNUMBER(B15),ISNUMBER(B23),B23&lt;&gt;0),B15/B23,"")</f>
        <v/>
      </c>
      <c r="D15" s="49" t="n">
        <v>48</v>
      </c>
      <c r="E15" s="44" t="n">
        <v>107158.6</v>
      </c>
      <c r="F15" s="22">
        <f>IF(AND(ISNUMBER(E15),ISNUMBER(E23),E23&lt;&gt;0),E15/E23,"")</f>
        <v/>
      </c>
      <c r="G15" s="49" t="n">
        <v>252</v>
      </c>
    </row>
    <row r="16">
      <c r="A16" s="14" t="inlineStr">
        <is>
          <t>Mail and printing</t>
        </is>
      </c>
      <c r="B16" s="44" t="n">
        <v>22167.78</v>
      </c>
      <c r="C16" s="22">
        <f>IF(AND(ISNUMBER(B16),ISNUMBER(B23),B23&lt;&gt;0),B16/B23,"")</f>
        <v/>
      </c>
      <c r="D16" s="49" t="n">
        <v>15</v>
      </c>
      <c r="E16" s="44" t="n">
        <v>36488.46</v>
      </c>
      <c r="F16" s="22">
        <f>IF(AND(ISNUMBER(E16),ISNUMBER(E23),E23&lt;&gt;0),E16/E23,"")</f>
        <v/>
      </c>
      <c r="G16" s="49" t="n">
        <v>102</v>
      </c>
    </row>
    <row r="17">
      <c r="A17" s="14" t="inlineStr">
        <is>
          <t>Consulting</t>
        </is>
      </c>
      <c r="B17" s="44" t="n">
        <v>10000</v>
      </c>
      <c r="C17" s="22">
        <f>IF(AND(ISNUMBER(B17),ISNUMBER(B23),B23&lt;&gt;0),B17/B23,"")</f>
        <v/>
      </c>
      <c r="D17" s="49" t="n">
        <v>1</v>
      </c>
      <c r="E17" s="44" t="n">
        <v>98693</v>
      </c>
      <c r="F17" s="22">
        <f>IF(AND(ISNUMBER(E17),ISNUMBER(E23),E23&lt;&gt;0),E17/E23,"")</f>
        <v/>
      </c>
      <c r="G17" s="49" t="n">
        <v>51</v>
      </c>
    </row>
    <row r="18">
      <c r="A18" s="14" t="inlineStr">
        <is>
          <t>Signs and merchandise</t>
        </is>
      </c>
      <c r="B18" s="44" t="n">
        <v>750</v>
      </c>
      <c r="C18" s="22">
        <f>IF(AND(ISNUMBER(B18),ISNUMBER(B23),B23&lt;&gt;0),B18/B23,"")</f>
        <v/>
      </c>
      <c r="D18" s="49" t="n">
        <v>1</v>
      </c>
      <c r="E18" s="44" t="n">
        <v>24202.36</v>
      </c>
      <c r="F18" s="22">
        <f>IF(AND(ISNUMBER(E18),ISNUMBER(E23),E23&lt;&gt;0),E18/E23,"")</f>
        <v/>
      </c>
      <c r="G18" s="49" t="n">
        <v>12</v>
      </c>
    </row>
    <row r="19">
      <c r="A19" s="14" t="inlineStr">
        <is>
          <t>Travel</t>
        </is>
      </c>
      <c r="B19" s="44" t="n">
        <v>6186.67</v>
      </c>
      <c r="C19" s="22">
        <f>IF(AND(ISNUMBER(B19),ISNUMBER(B23),B23&lt;&gt;0),B19/B23,"")</f>
        <v/>
      </c>
      <c r="D19" s="49" t="n">
        <v>20</v>
      </c>
      <c r="E19" s="44" t="n">
        <v>36958.81</v>
      </c>
      <c r="F19" s="22">
        <f>IF(AND(ISNUMBER(E19),ISNUMBER(E23),E23&lt;&gt;0),E19/E23,"")</f>
        <v/>
      </c>
      <c r="G19" s="49" t="n">
        <v>91</v>
      </c>
    </row>
    <row r="20">
      <c r="A20" s="14" t="inlineStr">
        <is>
          <t>Events and meals</t>
        </is>
      </c>
      <c r="B20" s="44" t="n">
        <v>4117.43</v>
      </c>
      <c r="C20" s="22">
        <f>IF(AND(ISNUMBER(B20),ISNUMBER(B23),B23&lt;&gt;0),B20/B23,"")</f>
        <v/>
      </c>
      <c r="D20" s="49" t="n">
        <v>12</v>
      </c>
      <c r="E20" s="44" t="n">
        <v>57849.89</v>
      </c>
      <c r="F20" s="22">
        <f>IF(AND(ISNUMBER(E20),ISNUMBER(E23),E23&lt;&gt;0),E20/E23,"")</f>
        <v/>
      </c>
      <c r="G20" s="49" t="n">
        <v>140</v>
      </c>
    </row>
    <row r="21">
      <c r="A21" s="14" t="inlineStr">
        <is>
          <t>Contributions and donations</t>
        </is>
      </c>
      <c r="B21" s="44" t="n">
        <v>1333.76</v>
      </c>
      <c r="C21" s="22">
        <f>IF(AND(ISNUMBER(B21),ISNUMBER(B23),B23&lt;&gt;0),B21/B23,"")</f>
        <v/>
      </c>
      <c r="D21" s="49" t="n">
        <v>6</v>
      </c>
      <c r="E21" s="44" t="n">
        <v>22575</v>
      </c>
      <c r="F21" s="22">
        <f>IF(AND(ISNUMBER(E21),ISNUMBER(E23),E23&lt;&gt;0),E21/E23,"")</f>
        <v/>
      </c>
      <c r="G21" s="49" t="n">
        <v>9</v>
      </c>
    </row>
    <row r="22">
      <c r="A22" s="14" t="inlineStr">
        <is>
          <t>Other</t>
        </is>
      </c>
      <c r="B22" s="44" t="n">
        <v>4318.17</v>
      </c>
      <c r="C22" s="22">
        <f>IF(AND(ISNUMBER(B22),ISNUMBER(B23),B23&lt;&gt;0),B22/B23,"")</f>
        <v/>
      </c>
      <c r="D22" s="49" t="n">
        <v>2</v>
      </c>
      <c r="E22" s="44" t="n">
        <v>0</v>
      </c>
      <c r="F22" s="22">
        <f>IF(AND(ISNUMBER(E22),ISNUMBER(E23),E23&lt;&gt;0),E22/E23,"")</f>
        <v/>
      </c>
      <c r="G22" s="49" t="n">
        <v>0</v>
      </c>
    </row>
    <row r="23">
      <c r="A23" s="15" t="inlineStr">
        <is>
          <t>TOTAL itemized</t>
        </is>
      </c>
      <c r="B23" s="17">
        <f>SUM(B6:B22)</f>
        <v/>
      </c>
      <c r="C23" s="39">
        <f>IF(AND(ISNUMBER(B23),ISNUMBER(B23),B23&lt;&gt;0),B23/B23,"")</f>
        <v/>
      </c>
      <c r="D23" s="50">
        <f>SUM(D6:D22)</f>
        <v/>
      </c>
      <c r="E23" s="17">
        <f>SUM(E6:E22)</f>
        <v/>
      </c>
      <c r="F23" s="39">
        <f>IF(AND(ISNUMBER(E23),ISNUMBER(E23),E23&lt;&gt;0),E23/E23,"")</f>
        <v/>
      </c>
      <c r="G23" s="50">
        <f>SUM(G6:G22)</f>
        <v/>
      </c>
    </row>
    <row r="24">
      <c r="A24" s="40" t="inlineStr">
        <is>
          <t>Check: categories minus FEC itemized total (must be $0)</t>
        </is>
      </c>
      <c r="B24" s="41">
        <f>B23-1368655.37</f>
        <v/>
      </c>
      <c r="E24" s="41">
        <f>E23-1487410.65</f>
        <v/>
      </c>
    </row>
    <row r="26" ht="18" customHeight="1">
      <c r="A26" s="3" t="inlineStr">
        <is>
          <t>LARGEST PAYEES, BOB BROOKS (D)</t>
        </is>
      </c>
      <c r="B26" s="4" t="n"/>
      <c r="C26" s="4" t="n"/>
      <c r="D26" s="4" t="n"/>
      <c r="E26" s="4" t="n"/>
      <c r="F26" s="4" t="n"/>
      <c r="G26" s="4" t="n"/>
    </row>
    <row r="27" ht="32" customHeight="1">
      <c r="A27" s="10" t="inlineStr">
        <is>
          <t>Payee</t>
        </is>
      </c>
      <c r="B27" s="10" t="inlineStr">
        <is>
          <t>Amount</t>
        </is>
      </c>
      <c r="C27" s="10" t="inlineStr">
        <is>
          <t>Items</t>
        </is>
      </c>
      <c r="D27" s="10" t="inlineStr">
        <is>
          <t>City</t>
        </is>
      </c>
      <c r="E27" s="10" t="inlineStr">
        <is>
          <t>State</t>
        </is>
      </c>
      <c r="F27" s="10" t="inlineStr">
        <is>
          <t>Main category</t>
        </is>
      </c>
      <c r="G27" s="10" t="inlineStr"/>
    </row>
    <row r="28">
      <c r="A28" s="14" t="inlineStr">
        <is>
          <t>LC Media LLC</t>
        </is>
      </c>
      <c r="B28" s="44" t="n">
        <v>543229</v>
      </c>
      <c r="C28" s="51" t="n">
        <v>11</v>
      </c>
      <c r="D28" s="14" t="inlineStr">
        <is>
          <t>Huntingdon Valley</t>
        </is>
      </c>
      <c r="E28" s="14" t="inlineStr">
        <is>
          <t>PA</t>
        </is>
      </c>
      <c r="F28" s="14" t="inlineStr">
        <is>
          <t>Television advertising</t>
        </is>
      </c>
    </row>
    <row r="29">
      <c r="A29" s="14" t="inlineStr">
        <is>
          <t>Ascend Digital</t>
        </is>
      </c>
      <c r="B29" s="44" t="n">
        <v>203646.79</v>
      </c>
      <c r="C29" s="51" t="n">
        <v>7</v>
      </c>
      <c r="D29" s="14" t="inlineStr">
        <is>
          <t>Washington</t>
        </is>
      </c>
      <c r="E29" s="14" t="inlineStr">
        <is>
          <t>DC</t>
        </is>
      </c>
      <c r="F29" s="14" t="inlineStr">
        <is>
          <t>Digital advertising</t>
        </is>
      </c>
    </row>
    <row r="30">
      <c r="A30" s="14" t="inlineStr">
        <is>
          <t>Kaufman, Jenna</t>
        </is>
      </c>
      <c r="B30" s="44" t="n">
        <v>75187.39999999999</v>
      </c>
      <c r="C30" s="51" t="n">
        <v>16</v>
      </c>
      <c r="D30" s="14" t="inlineStr">
        <is>
          <t>Bethlehem</t>
        </is>
      </c>
      <c r="E30" s="14" t="inlineStr">
        <is>
          <t>PA</t>
        </is>
      </c>
      <c r="F30" s="14" t="inlineStr">
        <is>
          <t>Staff and payroll</t>
        </is>
      </c>
    </row>
    <row r="31">
      <c r="A31" s="14" t="inlineStr">
        <is>
          <t>Werner, Jack</t>
        </is>
      </c>
      <c r="B31" s="44" t="n">
        <v>58673.23</v>
      </c>
      <c r="C31" s="51" t="n">
        <v>17</v>
      </c>
      <c r="D31" s="14" t="inlineStr">
        <is>
          <t>Easton</t>
        </is>
      </c>
      <c r="E31" s="14" t="inlineStr">
        <is>
          <t>PA</t>
        </is>
      </c>
      <c r="F31" s="14" t="inlineStr">
        <is>
          <t>Staff and payroll</t>
        </is>
      </c>
    </row>
    <row r="32">
      <c r="A32" s="14" t="inlineStr">
        <is>
          <t>Paychex</t>
        </is>
      </c>
      <c r="B32" s="44" t="n">
        <v>54920.71</v>
      </c>
      <c r="C32" s="51" t="n">
        <v>35</v>
      </c>
      <c r="D32" s="14" t="inlineStr">
        <is>
          <t>Rochester</t>
        </is>
      </c>
      <c r="E32" s="14" t="inlineStr">
        <is>
          <t>NY</t>
        </is>
      </c>
      <c r="F32" s="14" t="inlineStr">
        <is>
          <t>Staff and payroll</t>
        </is>
      </c>
    </row>
    <row r="33">
      <c r="A33" s="14" t="inlineStr">
        <is>
          <t>Actblue Technical Services</t>
        </is>
      </c>
      <c r="B33" s="44" t="n">
        <v>54605.66</v>
      </c>
      <c r="C33" s="51" t="n">
        <v>76</v>
      </c>
      <c r="D33" s="14" t="inlineStr">
        <is>
          <t>West Somerville</t>
        </is>
      </c>
      <c r="E33" s="14" t="inlineStr">
        <is>
          <t>MA</t>
        </is>
      </c>
      <c r="F33" s="14" t="inlineStr">
        <is>
          <t>Fundraising</t>
        </is>
      </c>
    </row>
    <row r="34">
      <c r="A34" s="14" t="inlineStr">
        <is>
          <t>Arc Initiatives</t>
        </is>
      </c>
      <c r="B34" s="44" t="n">
        <v>35000</v>
      </c>
      <c r="C34" s="51" t="n">
        <v>7</v>
      </c>
      <c r="D34" s="14" t="inlineStr">
        <is>
          <t>Washington</t>
        </is>
      </c>
      <c r="E34" s="14" t="inlineStr">
        <is>
          <t>DC</t>
        </is>
      </c>
      <c r="F34" s="14" t="inlineStr">
        <is>
          <t>Polling and research</t>
        </is>
      </c>
    </row>
    <row r="35">
      <c r="A35" s="14" t="inlineStr">
        <is>
          <t>True Blue Digital</t>
        </is>
      </c>
      <c r="B35" s="44" t="n">
        <v>34817.13</v>
      </c>
      <c r="C35" s="51" t="n">
        <v>8</v>
      </c>
      <c r="D35" s="14" t="inlineStr">
        <is>
          <t>Chicago</t>
        </is>
      </c>
      <c r="E35" s="14" t="inlineStr">
        <is>
          <t>IL</t>
        </is>
      </c>
      <c r="F35" s="14" t="inlineStr">
        <is>
          <t>Digital advertising</t>
        </is>
      </c>
    </row>
    <row r="36">
      <c r="A36" s="14" t="inlineStr">
        <is>
          <t>NGP VAN</t>
        </is>
      </c>
      <c r="B36" s="44" t="n">
        <v>31749.04</v>
      </c>
      <c r="C36" s="51" t="n">
        <v>5</v>
      </c>
      <c r="D36" s="14" t="inlineStr">
        <is>
          <t>Austin</t>
        </is>
      </c>
      <c r="E36" s="14" t="inlineStr">
        <is>
          <t>TX</t>
        </is>
      </c>
      <c r="F36" s="14" t="inlineStr">
        <is>
          <t>Office and administrative</t>
        </is>
      </c>
    </row>
    <row r="37">
      <c r="A37" s="14" t="inlineStr">
        <is>
          <t>Cfo Compliance</t>
        </is>
      </c>
      <c r="B37" s="44" t="n">
        <v>26182.97</v>
      </c>
      <c r="C37" s="51" t="n">
        <v>9</v>
      </c>
      <c r="D37" s="14" t="inlineStr">
        <is>
          <t>Providence</t>
        </is>
      </c>
      <c r="E37" s="14" t="inlineStr">
        <is>
          <t>RI</t>
        </is>
      </c>
      <c r="F37" s="14" t="inlineStr">
        <is>
          <t>Office and administrative</t>
        </is>
      </c>
    </row>
    <row r="38">
      <c r="A38" s="14" t="inlineStr">
        <is>
          <t>Wrigley, John</t>
        </is>
      </c>
      <c r="B38" s="44" t="n">
        <v>22312</v>
      </c>
      <c r="C38" s="51" t="n">
        <v>8</v>
      </c>
      <c r="D38" s="14" t="inlineStr">
        <is>
          <t>Allentown</t>
        </is>
      </c>
      <c r="E38" s="14" t="inlineStr">
        <is>
          <t>PA</t>
        </is>
      </c>
      <c r="F38" s="14" t="inlineStr">
        <is>
          <t>Staff and payroll</t>
        </is>
      </c>
    </row>
    <row r="39">
      <c r="A39" s="14" t="inlineStr">
        <is>
          <t>Grassroots Analytics</t>
        </is>
      </c>
      <c r="B39" s="44" t="n">
        <v>17832.07</v>
      </c>
      <c r="C39" s="51" t="n">
        <v>12</v>
      </c>
      <c r="D39" s="14" t="inlineStr">
        <is>
          <t>Washington</t>
        </is>
      </c>
      <c r="E39" s="14" t="inlineStr">
        <is>
          <t>DC</t>
        </is>
      </c>
      <c r="F39" s="14" t="inlineStr">
        <is>
          <t>Fundraising</t>
        </is>
      </c>
    </row>
    <row r="40">
      <c r="A40" s="14" t="inlineStr">
        <is>
          <t>Mccoach, Jake</t>
        </is>
      </c>
      <c r="B40" s="44" t="n">
        <v>15000</v>
      </c>
      <c r="C40" s="51" t="n">
        <v>3</v>
      </c>
      <c r="D40" s="14" t="inlineStr">
        <is>
          <t>Freeport</t>
        </is>
      </c>
      <c r="E40" s="14" t="inlineStr">
        <is>
          <t>PA</t>
        </is>
      </c>
      <c r="F40" s="14" t="inlineStr">
        <is>
          <t>Field, phones and texting</t>
        </is>
      </c>
    </row>
    <row r="41">
      <c r="A41" s="14" t="inlineStr">
        <is>
          <t>SEIU Pennsylvania State Council</t>
        </is>
      </c>
      <c r="B41" s="44" t="n">
        <v>15000</v>
      </c>
      <c r="C41" s="51" t="n">
        <v>1</v>
      </c>
      <c r="D41" s="14" t="inlineStr">
        <is>
          <t>Harrisburg</t>
        </is>
      </c>
      <c r="E41" s="14" t="inlineStr">
        <is>
          <t>PA</t>
        </is>
      </c>
      <c r="F41" s="14" t="inlineStr">
        <is>
          <t>Field, phones and texting</t>
        </is>
      </c>
    </row>
    <row r="42">
      <c r="A42" s="14" t="inlineStr">
        <is>
          <t>South Street Digital</t>
        </is>
      </c>
      <c r="B42" s="44" t="n">
        <v>14003.2</v>
      </c>
      <c r="C42" s="51" t="n">
        <v>3</v>
      </c>
      <c r="D42" s="14" t="inlineStr">
        <is>
          <t>Philadelphia</t>
        </is>
      </c>
      <c r="E42" s="14" t="inlineStr">
        <is>
          <t>PA</t>
        </is>
      </c>
      <c r="F42" s="14" t="inlineStr">
        <is>
          <t>Digital advertising</t>
        </is>
      </c>
    </row>
    <row r="44" ht="18" customHeight="1">
      <c r="A44" s="3" t="inlineStr">
        <is>
          <t>LARGEST PAYEES, RYAN MACKENZIE (R)</t>
        </is>
      </c>
      <c r="B44" s="4" t="n"/>
      <c r="C44" s="4" t="n"/>
      <c r="D44" s="4" t="n"/>
      <c r="E44" s="4" t="n"/>
      <c r="F44" s="4" t="n"/>
      <c r="G44" s="4" t="n"/>
    </row>
    <row r="45" ht="32" customHeight="1">
      <c r="A45" s="10" t="inlineStr">
        <is>
          <t>Payee</t>
        </is>
      </c>
      <c r="B45" s="10" t="inlineStr">
        <is>
          <t>Amount</t>
        </is>
      </c>
      <c r="C45" s="10" t="inlineStr">
        <is>
          <t>Items</t>
        </is>
      </c>
      <c r="D45" s="10" t="inlineStr">
        <is>
          <t>City</t>
        </is>
      </c>
      <c r="E45" s="10" t="inlineStr">
        <is>
          <t>State</t>
        </is>
      </c>
      <c r="F45" s="10" t="inlineStr">
        <is>
          <t>Main category</t>
        </is>
      </c>
      <c r="G45" s="10" t="inlineStr"/>
    </row>
    <row r="46">
      <c r="A46" s="14" t="inlineStr">
        <is>
          <t>Frontline Strategies</t>
        </is>
      </c>
      <c r="B46" s="44" t="n">
        <v>332817.9</v>
      </c>
      <c r="C46" s="51" t="n">
        <v>107</v>
      </c>
      <c r="D46" s="14" t="inlineStr">
        <is>
          <t>Elgin</t>
        </is>
      </c>
      <c r="E46" s="14" t="inlineStr">
        <is>
          <t>IL</t>
        </is>
      </c>
      <c r="F46" s="14" t="inlineStr">
        <is>
          <t>Fundraising</t>
        </is>
      </c>
    </row>
    <row r="47">
      <c r="A47" s="14" t="inlineStr">
        <is>
          <t>District City Consulting</t>
        </is>
      </c>
      <c r="B47" s="44" t="n">
        <v>166301.16</v>
      </c>
      <c r="C47" s="51" t="n">
        <v>10</v>
      </c>
      <c r="D47" s="14" t="inlineStr">
        <is>
          <t>Washington</t>
        </is>
      </c>
      <c r="E47" s="14" t="inlineStr">
        <is>
          <t>DC</t>
        </is>
      </c>
      <c r="F47" s="14" t="inlineStr">
        <is>
          <t>Fundraising</t>
        </is>
      </c>
    </row>
    <row r="48">
      <c r="A48" s="14" t="inlineStr">
        <is>
          <t>Christy Consulting LLC</t>
        </is>
      </c>
      <c r="B48" s="44" t="n">
        <v>132892.75</v>
      </c>
      <c r="C48" s="51" t="n">
        <v>27</v>
      </c>
      <c r="D48" s="14" t="inlineStr">
        <is>
          <t>Philadelphia</t>
        </is>
      </c>
      <c r="E48" s="14" t="inlineStr">
        <is>
          <t>PA</t>
        </is>
      </c>
      <c r="F48" s="14" t="inlineStr">
        <is>
          <t>Fundraising</t>
        </is>
      </c>
    </row>
    <row r="49">
      <c r="A49" s="14" t="inlineStr">
        <is>
          <t>Fulfillment Solutions Inc.</t>
        </is>
      </c>
      <c r="B49" s="44" t="n">
        <v>74152.92</v>
      </c>
      <c r="C49" s="51" t="n">
        <v>31</v>
      </c>
      <c r="D49" s="14" t="inlineStr">
        <is>
          <t>Sterling</t>
        </is>
      </c>
      <c r="E49" s="14" t="inlineStr">
        <is>
          <t>VA</t>
        </is>
      </c>
      <c r="F49" s="14" t="inlineStr">
        <is>
          <t>Fundraising</t>
        </is>
      </c>
    </row>
    <row r="50">
      <c r="A50" s="14" t="inlineStr">
        <is>
          <t>Direct Mail Fundraising LLC</t>
        </is>
      </c>
      <c r="B50" s="44" t="n">
        <v>64451.03</v>
      </c>
      <c r="C50" s="51" t="n">
        <v>16</v>
      </c>
      <c r="D50" s="14" t="inlineStr">
        <is>
          <t>Ashburn</t>
        </is>
      </c>
      <c r="E50" s="14" t="inlineStr">
        <is>
          <t>VA</t>
        </is>
      </c>
      <c r="F50" s="14" t="inlineStr">
        <is>
          <t>Fundraising</t>
        </is>
      </c>
    </row>
    <row r="51">
      <c r="A51" s="14" t="inlineStr">
        <is>
          <t>Pathfinder Communications, LLC</t>
        </is>
      </c>
      <c r="B51" s="44" t="n">
        <v>52876.5</v>
      </c>
      <c r="C51" s="51" t="n">
        <v>15</v>
      </c>
      <c r="D51" s="14" t="inlineStr">
        <is>
          <t>Berwyn</t>
        </is>
      </c>
      <c r="E51" s="14" t="inlineStr">
        <is>
          <t>PA</t>
        </is>
      </c>
      <c r="F51" s="14" t="inlineStr">
        <is>
          <t>Consulting</t>
        </is>
      </c>
    </row>
    <row r="52">
      <c r="A52" s="14" t="inlineStr">
        <is>
          <t>Weller, Andres</t>
        </is>
      </c>
      <c r="B52" s="44" t="n">
        <v>43138.83</v>
      </c>
      <c r="C52" s="51" t="n">
        <v>28</v>
      </c>
      <c r="D52" s="14" t="inlineStr">
        <is>
          <t>Emmaus</t>
        </is>
      </c>
      <c r="E52" s="14" t="inlineStr">
        <is>
          <t>PA</t>
        </is>
      </c>
      <c r="F52" s="14" t="inlineStr">
        <is>
          <t>Consulting</t>
        </is>
      </c>
    </row>
    <row r="53">
      <c r="A53" s="14" t="inlineStr">
        <is>
          <t>Winred Technical Services, LLC</t>
        </is>
      </c>
      <c r="B53" s="44" t="n">
        <v>41412.94</v>
      </c>
      <c r="C53" s="51" t="n">
        <v>83</v>
      </c>
      <c r="D53" s="14" t="inlineStr">
        <is>
          <t>Cheyenne</t>
        </is>
      </c>
      <c r="E53" s="14" t="inlineStr">
        <is>
          <t>WY</t>
        </is>
      </c>
      <c r="F53" s="14" t="inlineStr">
        <is>
          <t>Fundraising</t>
        </is>
      </c>
    </row>
    <row r="54">
      <c r="A54" s="14" t="inlineStr">
        <is>
          <t>Elite Consulting</t>
        </is>
      </c>
      <c r="B54" s="44" t="n">
        <v>40643.9</v>
      </c>
      <c r="C54" s="51" t="n">
        <v>10</v>
      </c>
      <c r="D54" s="14" t="inlineStr">
        <is>
          <t>Washington</t>
        </is>
      </c>
      <c r="E54" s="14" t="inlineStr">
        <is>
          <t>DC</t>
        </is>
      </c>
      <c r="F54" s="14" t="inlineStr">
        <is>
          <t>Fundraising</t>
        </is>
      </c>
    </row>
    <row r="55">
      <c r="A55" s="14" t="inlineStr">
        <is>
          <t>The Tarrance Group</t>
        </is>
      </c>
      <c r="B55" s="44" t="n">
        <v>38124.5</v>
      </c>
      <c r="C55" s="51" t="n">
        <v>2</v>
      </c>
      <c r="D55" s="14" t="inlineStr">
        <is>
          <t>Alexandria</t>
        </is>
      </c>
      <c r="E55" s="14" t="inlineStr">
        <is>
          <t>VA</t>
        </is>
      </c>
      <c r="F55" s="14" t="inlineStr">
        <is>
          <t>Polling and research</t>
        </is>
      </c>
    </row>
    <row r="56">
      <c r="A56" s="14" t="inlineStr">
        <is>
          <t>Rightway Compliance LLC</t>
        </is>
      </c>
      <c r="B56" s="44" t="n">
        <v>36592.58</v>
      </c>
      <c r="C56" s="51" t="n">
        <v>18</v>
      </c>
      <c r="D56" s="14" t="inlineStr">
        <is>
          <t>Harrisburg</t>
        </is>
      </c>
      <c r="E56" s="14" t="inlineStr">
        <is>
          <t>PA</t>
        </is>
      </c>
      <c r="F56" s="14" t="inlineStr">
        <is>
          <t>Office and administrative</t>
        </is>
      </c>
    </row>
    <row r="57">
      <c r="A57" s="14" t="inlineStr">
        <is>
          <t>Managed By Equinox Inc</t>
        </is>
      </c>
      <c r="B57" s="44" t="n">
        <v>25875</v>
      </c>
      <c r="C57" s="51" t="n">
        <v>5</v>
      </c>
      <c r="D57" s="14" t="inlineStr">
        <is>
          <t>Bethlehem</t>
        </is>
      </c>
      <c r="E57" s="14" t="inlineStr">
        <is>
          <t>PA</t>
        </is>
      </c>
      <c r="F57" s="14" t="inlineStr">
        <is>
          <t>Office and administrative</t>
        </is>
      </c>
    </row>
    <row r="58">
      <c r="A58" s="14" t="inlineStr">
        <is>
          <t>Marriott Group</t>
        </is>
      </c>
      <c r="B58" s="44" t="n">
        <v>24000</v>
      </c>
      <c r="C58" s="51" t="n">
        <v>8</v>
      </c>
      <c r="D58" s="14" t="inlineStr">
        <is>
          <t>Leesburg</t>
        </is>
      </c>
      <c r="E58" s="14" t="inlineStr">
        <is>
          <t>VA</t>
        </is>
      </c>
      <c r="F58" s="14" t="inlineStr">
        <is>
          <t>Fundraising</t>
        </is>
      </c>
    </row>
    <row r="59">
      <c r="A59" s="14" t="inlineStr">
        <is>
          <t>Onpoint Data Strategy LLC</t>
        </is>
      </c>
      <c r="B59" s="44" t="n">
        <v>20586.36</v>
      </c>
      <c r="C59" s="51" t="n">
        <v>18</v>
      </c>
      <c r="D59" s="14" t="inlineStr">
        <is>
          <t>Ashburn</t>
        </is>
      </c>
      <c r="E59" s="14" t="inlineStr">
        <is>
          <t>VA</t>
        </is>
      </c>
      <c r="F59" s="14" t="inlineStr">
        <is>
          <t>Fundraising</t>
        </is>
      </c>
    </row>
    <row r="60">
      <c r="A60" s="14" t="inlineStr">
        <is>
          <t>Mackenzie, Ryan</t>
        </is>
      </c>
      <c r="B60" s="44" t="n">
        <v>20183.55</v>
      </c>
      <c r="C60" s="51" t="n">
        <v>36</v>
      </c>
      <c r="D60" s="14" t="inlineStr">
        <is>
          <t>Emmaus</t>
        </is>
      </c>
      <c r="E60" s="14" t="inlineStr">
        <is>
          <t>PA</t>
        </is>
      </c>
      <c r="F60" s="14" t="inlineStr">
        <is>
          <t>Travel</t>
        </is>
      </c>
    </row>
    <row r="62" ht="18" customHeight="1">
      <c r="A62" s="3" t="inlineStr">
        <is>
          <t>WHERE THE PAYEES ARE</t>
        </is>
      </c>
      <c r="B62" s="4" t="n"/>
      <c r="C62" s="4" t="n"/>
      <c r="D62" s="4" t="n"/>
      <c r="E62" s="4" t="n"/>
      <c r="F62" s="4" t="n"/>
      <c r="G62" s="4" t="n"/>
    </row>
    <row r="63" ht="32" customHeight="1">
      <c r="A63" s="10" t="inlineStr">
        <is>
          <t>Payee state</t>
        </is>
      </c>
      <c r="B63" s="10" t="inlineStr">
        <is>
          <t>Bob Brooks (D)</t>
        </is>
      </c>
      <c r="C63" s="10" t="inlineStr">
        <is>
          <t>Share</t>
        </is>
      </c>
      <c r="D63" s="10" t="inlineStr"/>
      <c r="E63" s="10" t="inlineStr">
        <is>
          <t>Ryan Mackenzie (R)</t>
        </is>
      </c>
      <c r="F63" s="10" t="inlineStr">
        <is>
          <t>Share</t>
        </is>
      </c>
      <c r="G63" s="10" t="inlineStr"/>
    </row>
    <row r="64">
      <c r="A64" s="14" t="inlineStr">
        <is>
          <t>PA</t>
        </is>
      </c>
      <c r="B64" s="44" t="n">
        <v>798926.02</v>
      </c>
      <c r="C64" s="22">
        <f>IF(AND(ISNUMBER(B64),ISNUMBER(B23),B23&lt;&gt;0),B64/B23,"")</f>
        <v/>
      </c>
      <c r="D64" s="52" t="n"/>
      <c r="E64" s="44" t="n">
        <v>459357.16</v>
      </c>
      <c r="F64" s="22">
        <f>IF(AND(ISNUMBER(E64),ISNUMBER(E23),E23&lt;&gt;0),E64/E23,"")</f>
        <v/>
      </c>
      <c r="G64" s="52" t="n"/>
    </row>
    <row r="65">
      <c r="A65" s="14" t="inlineStr">
        <is>
          <t>DC</t>
        </is>
      </c>
      <c r="B65" s="44" t="n">
        <v>274955.33</v>
      </c>
      <c r="C65" s="22">
        <f>IF(AND(ISNUMBER(B65),ISNUMBER(B23),B23&lt;&gt;0),B65/B23,"")</f>
        <v/>
      </c>
      <c r="D65" s="52" t="n"/>
      <c r="E65" s="44" t="n">
        <v>242504.01</v>
      </c>
      <c r="F65" s="22">
        <f>IF(AND(ISNUMBER(E65),ISNUMBER(E23),E23&lt;&gt;0),E65/E23,"")</f>
        <v/>
      </c>
      <c r="G65" s="52" t="n"/>
    </row>
    <row r="66">
      <c r="A66" s="14" t="inlineStr">
        <is>
          <t>IL</t>
        </is>
      </c>
      <c r="B66" s="44" t="n">
        <v>35315.53</v>
      </c>
      <c r="C66" s="22">
        <f>IF(AND(ISNUMBER(B66),ISNUMBER(B23),B23&lt;&gt;0),B66/B23,"")</f>
        <v/>
      </c>
      <c r="D66" s="52" t="n"/>
      <c r="E66" s="44" t="n">
        <v>335283.52</v>
      </c>
      <c r="F66" s="22">
        <f>IF(AND(ISNUMBER(E66),ISNUMBER(E23),E23&lt;&gt;0),E66/E23,"")</f>
        <v/>
      </c>
      <c r="G66" s="52" t="n"/>
    </row>
    <row r="67">
      <c r="A67" s="14" t="inlineStr">
        <is>
          <t>VA</t>
        </is>
      </c>
      <c r="B67" s="44" t="n">
        <v>1000</v>
      </c>
      <c r="C67" s="22">
        <f>IF(AND(ISNUMBER(B67),ISNUMBER(B23),B23&lt;&gt;0),B67/B23,"")</f>
        <v/>
      </c>
      <c r="D67" s="52" t="n"/>
      <c r="E67" s="44" t="n">
        <v>317942.8</v>
      </c>
      <c r="F67" s="22">
        <f>IF(AND(ISNUMBER(E67),ISNUMBER(E23),E23&lt;&gt;0),E67/E23,"")</f>
        <v/>
      </c>
      <c r="G67" s="52" t="n"/>
    </row>
    <row r="68">
      <c r="A68" s="14" t="inlineStr">
        <is>
          <t>NY</t>
        </is>
      </c>
      <c r="B68" s="44" t="n">
        <v>69953.94</v>
      </c>
      <c r="C68" s="22">
        <f>IF(AND(ISNUMBER(B68),ISNUMBER(B23),B23&lt;&gt;0),B68/B23,"")</f>
        <v/>
      </c>
      <c r="D68" s="52" t="n"/>
      <c r="E68" s="44" t="n">
        <v>17435.36</v>
      </c>
      <c r="F68" s="22">
        <f>IF(AND(ISNUMBER(E68),ISNUMBER(E23),E23&lt;&gt;0),E68/E23,"")</f>
        <v/>
      </c>
      <c r="G68" s="52" t="n"/>
    </row>
    <row r="69">
      <c r="A69" s="14" t="inlineStr">
        <is>
          <t>MA</t>
        </is>
      </c>
      <c r="B69" s="44" t="n">
        <v>57354.54</v>
      </c>
      <c r="C69" s="22">
        <f>IF(AND(ISNUMBER(B69),ISNUMBER(B23),B23&lt;&gt;0),B69/B23,"")</f>
        <v/>
      </c>
      <c r="D69" s="52" t="n"/>
      <c r="E69" s="44" t="n">
        <v>7613.56</v>
      </c>
      <c r="F69" s="22">
        <f>IF(AND(ISNUMBER(E69),ISNUMBER(E23),E23&lt;&gt;0),E69/E23,"")</f>
        <v/>
      </c>
      <c r="G69" s="52" t="n"/>
    </row>
    <row r="70">
      <c r="A70" s="14" t="inlineStr">
        <is>
          <t>CA</t>
        </is>
      </c>
      <c r="B70" s="44" t="n">
        <v>39080.7</v>
      </c>
      <c r="C70" s="22">
        <f>IF(AND(ISNUMBER(B70),ISNUMBER(B23),B23&lt;&gt;0),B70/B23,"")</f>
        <v/>
      </c>
      <c r="D70" s="52" t="n"/>
      <c r="E70" s="44" t="n">
        <v>15050.7</v>
      </c>
      <c r="F70" s="22">
        <f>IF(AND(ISNUMBER(E70),ISNUMBER(E23),E23&lt;&gt;0),E70/E23,"")</f>
        <v/>
      </c>
      <c r="G70" s="52" t="n"/>
    </row>
    <row r="71">
      <c r="A71" s="14" t="inlineStr">
        <is>
          <t>TX</t>
        </is>
      </c>
      <c r="B71" s="44" t="n">
        <v>32737.44</v>
      </c>
      <c r="C71" s="22">
        <f>IF(AND(ISNUMBER(B71),ISNUMBER(B23),B23&lt;&gt;0),B71/B23,"")</f>
        <v/>
      </c>
      <c r="D71" s="52" t="n"/>
      <c r="E71" s="44" t="n">
        <v>14439.86</v>
      </c>
      <c r="F71" s="22">
        <f>IF(AND(ISNUMBER(E71),ISNUMBER(E23),E23&lt;&gt;0),E71/E23,"")</f>
        <v/>
      </c>
      <c r="G71" s="52" t="n"/>
    </row>
    <row r="72">
      <c r="A72" s="14" t="inlineStr">
        <is>
          <t>All other</t>
        </is>
      </c>
      <c r="B72" s="44" t="n">
        <v>59331.87</v>
      </c>
      <c r="C72" s="22">
        <f>IF(AND(ISNUMBER(B72),ISNUMBER(B23),B23&lt;&gt;0),B72/B23,"")</f>
        <v/>
      </c>
      <c r="D72" s="52" t="n"/>
      <c r="E72" s="44" t="n">
        <v>77783.67999999999</v>
      </c>
      <c r="F72" s="22">
        <f>IF(AND(ISNUMBER(E72),ISNUMBER(E23),E23&lt;&gt;0),E72/E23,"")</f>
        <v/>
      </c>
      <c r="G72" s="52" t="n"/>
    </row>
    <row r="74" ht="36" customHeight="1">
      <c r="A74" s="32" t="inlineStr">
        <is>
          <t>- Spending categories are assigned from the description each campaign wrote on its report, using ordered keyword rules (classify.py). The FEC's own purpose field files more than half of this spending as OTHER.</t>
        </is>
      </c>
    </row>
    <row r="75" ht="24" customHeight="1">
      <c r="A75" s="32" t="inlineStr">
        <is>
          <t>- Memo sub-itemizations are excluded from spending, so the total equals FEC's by_purpose figure exactly.</t>
        </is>
      </c>
    </row>
  </sheetData>
  <mergeCells count="2">
    <mergeCell ref="A74:G74"/>
    <mergeCell ref="A75:G75"/>
  </mergeCells>
  <pageMargins left="0.75" right="0.75" top="1" bottom="1" header="0.5" footer="0.5"/>
</worksheet>
</file>

<file path=xl/worksheets/sheet8.xml><?xml version="1.0" encoding="utf-8"?>
<worksheet xmlns="http://schemas.openxmlformats.org/spreadsheetml/2006/main">
  <sheetPr>
    <tabColor rgb="001F3864"/>
    <outlinePr summaryBelow="1" summaryRight="1"/>
    <pageSetUpPr/>
  </sheetPr>
  <dimension ref="A1:G62"/>
  <sheetViews>
    <sheetView workbookViewId="0">
      <selection activeCell="A1" sqref="A1"/>
    </sheetView>
  </sheetViews>
  <sheetFormatPr baseColWidth="8" defaultRowHeight="15"/>
  <cols>
    <col width="30" customWidth="1" min="1" max="1"/>
    <col width="15" customWidth="1" min="2" max="2"/>
    <col width="9" customWidth="1" min="3" max="3"/>
    <col width="9" customWidth="1" min="4" max="4"/>
    <col width="15" customWidth="1" min="5" max="5"/>
    <col width="9" customWidth="1" min="6" max="6"/>
    <col width="9" customWidth="1" min="7" max="7"/>
  </cols>
  <sheetData>
    <row r="1">
      <c r="A1" s="1" t="inlineStr">
        <is>
          <t>Where each nominee's contributions came from</t>
        </is>
      </c>
    </row>
    <row r="2">
      <c r="A2" s="2" t="inlineStr">
        <is>
          <t>Itemized individual contributions (each over $200), 2026 cycle, through 2026-10-14. FEC aggregates. Retrieved 2026-10-23T15:04:41Z.</t>
        </is>
      </c>
    </row>
    <row r="4" ht="18" customHeight="1">
      <c r="A4" s="3" t="inlineStr">
        <is>
          <t>BY STATE</t>
        </is>
      </c>
      <c r="B4" s="4" t="n"/>
      <c r="C4" s="4" t="n"/>
      <c r="D4" s="4" t="n"/>
      <c r="E4" s="4" t="n"/>
      <c r="F4" s="4" t="n"/>
      <c r="G4" s="4" t="n"/>
    </row>
    <row r="5" ht="32" customHeight="1">
      <c r="A5" s="10" t="inlineStr">
        <is>
          <t>State</t>
        </is>
      </c>
      <c r="B5" s="10" t="inlineStr">
        <is>
          <t>Bob Brooks (D)</t>
        </is>
      </c>
      <c r="C5" s="10" t="inlineStr">
        <is>
          <t>Share</t>
        </is>
      </c>
      <c r="D5" s="10" t="inlineStr">
        <is>
          <t>Gifts</t>
        </is>
      </c>
      <c r="E5" s="10" t="inlineStr">
        <is>
          <t>Ryan Mackenzie (R)</t>
        </is>
      </c>
      <c r="F5" s="10" t="inlineStr">
        <is>
          <t>Share</t>
        </is>
      </c>
      <c r="G5" s="10" t="inlineStr">
        <is>
          <t>Gifts</t>
        </is>
      </c>
    </row>
    <row r="6">
      <c r="A6" s="14" t="inlineStr">
        <is>
          <t>PA</t>
        </is>
      </c>
      <c r="B6" s="44" t="n">
        <v>290329.06</v>
      </c>
      <c r="C6" s="22">
        <f>IF(AND(ISNUMBER(B6),ISNUMBER(B17),B17&lt;&gt;0),B6/B17,"")</f>
        <v/>
      </c>
      <c r="D6" s="49" t="n">
        <v>687</v>
      </c>
      <c r="E6" s="44" t="n">
        <v>705177.53</v>
      </c>
      <c r="F6" s="22">
        <f>IF(AND(ISNUMBER(E6),ISNUMBER(E17),E17&lt;&gt;0),E6/E17,"")</f>
        <v/>
      </c>
      <c r="G6" s="49" t="n">
        <v>1185</v>
      </c>
    </row>
    <row r="7">
      <c r="A7" s="14" t="inlineStr">
        <is>
          <t>FL</t>
        </is>
      </c>
      <c r="B7" s="44" t="n">
        <v>32808.59</v>
      </c>
      <c r="C7" s="22">
        <f>IF(AND(ISNUMBER(B7),ISNUMBER(B17),B17&lt;&gt;0),B7/B17,"")</f>
        <v/>
      </c>
      <c r="D7" s="49" t="n">
        <v>42</v>
      </c>
      <c r="E7" s="44" t="n">
        <v>498858.16</v>
      </c>
      <c r="F7" s="22">
        <f>IF(AND(ISNUMBER(E7),ISNUMBER(E17),E17&lt;&gt;0),E7/E17,"")</f>
        <v/>
      </c>
      <c r="G7" s="49" t="n">
        <v>1923</v>
      </c>
    </row>
    <row r="8">
      <c r="A8" s="14" t="inlineStr">
        <is>
          <t>NY</t>
        </is>
      </c>
      <c r="B8" s="44" t="n">
        <v>275445.73</v>
      </c>
      <c r="C8" s="22">
        <f>IF(AND(ISNUMBER(B8),ISNUMBER(B17),B17&lt;&gt;0),B8/B17,"")</f>
        <v/>
      </c>
      <c r="D8" s="49" t="n">
        <v>206</v>
      </c>
      <c r="E8" s="44" t="n">
        <v>219095.46</v>
      </c>
      <c r="F8" s="22">
        <f>IF(AND(ISNUMBER(E8),ISNUMBER(E17),E17&lt;&gt;0),E8/E17,"")</f>
        <v/>
      </c>
      <c r="G8" s="49" t="n">
        <v>420</v>
      </c>
    </row>
    <row r="9">
      <c r="A9" s="14" t="inlineStr">
        <is>
          <t>CA</t>
        </is>
      </c>
      <c r="B9" s="44" t="n">
        <v>232104.2</v>
      </c>
      <c r="C9" s="22">
        <f>IF(AND(ISNUMBER(B9),ISNUMBER(B17),B17&lt;&gt;0),B9/B17,"")</f>
        <v/>
      </c>
      <c r="D9" s="49" t="n">
        <v>317</v>
      </c>
      <c r="E9" s="44" t="n">
        <v>189336.51</v>
      </c>
      <c r="F9" s="22">
        <f>IF(AND(ISNUMBER(E9),ISNUMBER(E17),E17&lt;&gt;0),E9/E17,"")</f>
        <v/>
      </c>
      <c r="G9" s="49" t="n">
        <v>1371</v>
      </c>
    </row>
    <row r="10">
      <c r="A10" s="14" t="inlineStr">
        <is>
          <t>TX</t>
        </is>
      </c>
      <c r="B10" s="44" t="n">
        <v>16950</v>
      </c>
      <c r="C10" s="22">
        <f>IF(AND(ISNUMBER(B10),ISNUMBER(B17),B17&lt;&gt;0),B10/B17,"")</f>
        <v/>
      </c>
      <c r="D10" s="49" t="n">
        <v>14</v>
      </c>
      <c r="E10" s="44" t="n">
        <v>392044.34</v>
      </c>
      <c r="F10" s="22">
        <f>IF(AND(ISNUMBER(E10),ISNUMBER(E17),E17&lt;&gt;0),E10/E17,"")</f>
        <v/>
      </c>
      <c r="G10" s="49" t="n">
        <v>2187</v>
      </c>
    </row>
    <row r="11">
      <c r="A11" s="14" t="inlineStr">
        <is>
          <t>MA</t>
        </is>
      </c>
      <c r="B11" s="44" t="n">
        <v>162959.5</v>
      </c>
      <c r="C11" s="22">
        <f>IF(AND(ISNUMBER(B11),ISNUMBER(B17),B17&lt;&gt;0),B11/B17,"")</f>
        <v/>
      </c>
      <c r="D11" s="49" t="n">
        <v>254</v>
      </c>
      <c r="E11" s="44" t="n">
        <v>53894.65</v>
      </c>
      <c r="F11" s="22">
        <f>IF(AND(ISNUMBER(E11),ISNUMBER(E17),E17&lt;&gt;0),E11/E17,"")</f>
        <v/>
      </c>
      <c r="G11" s="49" t="n">
        <v>65</v>
      </c>
    </row>
    <row r="12">
      <c r="A12" s="14" t="inlineStr">
        <is>
          <t>IL</t>
        </is>
      </c>
      <c r="B12" s="44" t="n">
        <v>23197.32</v>
      </c>
      <c r="C12" s="22">
        <f>IF(AND(ISNUMBER(B12),ISNUMBER(B17),B17&lt;&gt;0),B12/B17,"")</f>
        <v/>
      </c>
      <c r="D12" s="49" t="n">
        <v>43</v>
      </c>
      <c r="E12" s="44" t="n">
        <v>82720.37</v>
      </c>
      <c r="F12" s="22">
        <f>IF(AND(ISNUMBER(E12),ISNUMBER(E17),E17&lt;&gt;0),E12/E17,"")</f>
        <v/>
      </c>
      <c r="G12" s="49" t="n">
        <v>404</v>
      </c>
    </row>
    <row r="13">
      <c r="A13" s="14" t="inlineStr">
        <is>
          <t>LA</t>
        </is>
      </c>
      <c r="B13" s="44" t="n">
        <v>0</v>
      </c>
      <c r="C13" s="22">
        <f>IF(AND(ISNUMBER(B13),ISNUMBER(B17),B17&lt;&gt;0),B13/B17,"")</f>
        <v/>
      </c>
      <c r="D13" s="49" t="n">
        <v>0</v>
      </c>
      <c r="E13" s="44" t="n">
        <v>96564.66</v>
      </c>
      <c r="F13" s="22">
        <f>IF(AND(ISNUMBER(E13),ISNUMBER(E17),E17&lt;&gt;0),E13/E17,"")</f>
        <v/>
      </c>
      <c r="G13" s="49" t="n">
        <v>230</v>
      </c>
    </row>
    <row r="14">
      <c r="A14" s="14" t="inlineStr">
        <is>
          <t>VA</t>
        </is>
      </c>
      <c r="B14" s="44" t="n">
        <v>14884.19</v>
      </c>
      <c r="C14" s="22">
        <f>IF(AND(ISNUMBER(B14),ISNUMBER(B17),B17&lt;&gt;0),B14/B17,"")</f>
        <v/>
      </c>
      <c r="D14" s="49" t="n">
        <v>72</v>
      </c>
      <c r="E14" s="44" t="n">
        <v>80077.28</v>
      </c>
      <c r="F14" s="22">
        <f>IF(AND(ISNUMBER(E14),ISNUMBER(E17),E17&lt;&gt;0),E14/E17,"")</f>
        <v/>
      </c>
      <c r="G14" s="49" t="n">
        <v>432</v>
      </c>
    </row>
    <row r="15">
      <c r="A15" s="14" t="inlineStr">
        <is>
          <t>CT</t>
        </is>
      </c>
      <c r="B15" s="44" t="n">
        <v>42688.16</v>
      </c>
      <c r="C15" s="22">
        <f>IF(AND(ISNUMBER(B15),ISNUMBER(B17),B17&lt;&gt;0),B15/B17,"")</f>
        <v/>
      </c>
      <c r="D15" s="49" t="n">
        <v>41</v>
      </c>
      <c r="E15" s="44" t="n">
        <v>38941.97</v>
      </c>
      <c r="F15" s="22">
        <f>IF(AND(ISNUMBER(E15),ISNUMBER(E17),E17&lt;&gt;0),E15/E17,"")</f>
        <v/>
      </c>
      <c r="G15" s="49" t="n">
        <v>98</v>
      </c>
    </row>
    <row r="16">
      <c r="A16" s="14" t="inlineStr">
        <is>
          <t>All other</t>
        </is>
      </c>
      <c r="B16" s="44" t="n">
        <v>270739.41</v>
      </c>
      <c r="C16" s="22">
        <f>IF(AND(ISNUMBER(B16),ISNUMBER(B17),B17&lt;&gt;0),B16/B17,"")</f>
        <v/>
      </c>
      <c r="D16" s="49" t="n">
        <v>473</v>
      </c>
      <c r="E16" s="44" t="n">
        <v>587844.14</v>
      </c>
      <c r="F16" s="22">
        <f>IF(AND(ISNUMBER(E16),ISNUMBER(E17),E17&lt;&gt;0),E16/E17,"")</f>
        <v/>
      </c>
      <c r="G16" s="49" t="n">
        <v>4931</v>
      </c>
    </row>
    <row r="17">
      <c r="A17" s="15" t="inlineStr">
        <is>
          <t>TOTAL itemized</t>
        </is>
      </c>
      <c r="B17" s="17">
        <f>SUM(B6:B16)</f>
        <v/>
      </c>
      <c r="C17" s="39">
        <f>IF(AND(ISNUMBER(B17),ISNUMBER(B17),B17&lt;&gt;0),B17/B17,"")</f>
        <v/>
      </c>
      <c r="D17" s="50">
        <f>SUM(D6:D16)</f>
        <v/>
      </c>
      <c r="E17" s="17">
        <f>SUM(E6:E16)</f>
        <v/>
      </c>
      <c r="F17" s="39">
        <f>IF(AND(ISNUMBER(E17),ISNUMBER(E17),E17&lt;&gt;0),E17/E17,"")</f>
        <v/>
      </c>
      <c r="G17" s="50">
        <f>SUM(G6:G16)</f>
        <v/>
      </c>
    </row>
    <row r="19" ht="18" customHeight="1">
      <c r="A19" s="3" t="inlineStr">
        <is>
          <t>BY SIZE OF GIFT</t>
        </is>
      </c>
      <c r="B19" s="4" t="n"/>
      <c r="C19" s="4" t="n"/>
      <c r="D19" s="4" t="n"/>
      <c r="E19" s="4" t="n"/>
      <c r="F19" s="4" t="n"/>
      <c r="G19" s="4" t="n"/>
    </row>
    <row r="20" ht="32" customHeight="1">
      <c r="A20" s="10" t="inlineStr">
        <is>
          <t>Size of gift</t>
        </is>
      </c>
      <c r="B20" s="10" t="inlineStr">
        <is>
          <t>Bob Brooks (D)</t>
        </is>
      </c>
      <c r="C20" s="10" t="inlineStr">
        <is>
          <t>Share</t>
        </is>
      </c>
      <c r="D20" s="10" t="inlineStr">
        <is>
          <t>Gifts</t>
        </is>
      </c>
      <c r="E20" s="10" t="inlineStr">
        <is>
          <t>Ryan Mackenzie (R)</t>
        </is>
      </c>
      <c r="F20" s="10" t="inlineStr">
        <is>
          <t>Share</t>
        </is>
      </c>
      <c r="G20" s="10" t="inlineStr">
        <is>
          <t>Gifts</t>
        </is>
      </c>
    </row>
    <row r="21">
      <c r="A21" s="14" t="inlineStr">
        <is>
          <t>$200 or less</t>
        </is>
      </c>
      <c r="B21" s="44" t="n">
        <v>1213578.68</v>
      </c>
      <c r="C21" s="22">
        <f>IF(AND(ISNUMBER(B21),ISNUMBER(B26),B26&lt;&gt;0),B21/B26,"")</f>
        <v/>
      </c>
      <c r="D21" s="49" t="n"/>
      <c r="E21" s="44" t="n">
        <v>846543.27</v>
      </c>
      <c r="F21" s="22">
        <f>IF(AND(ISNUMBER(E21),ISNUMBER(E26),E26&lt;&gt;0),E21/E26,"")</f>
        <v/>
      </c>
      <c r="G21" s="49" t="n"/>
    </row>
    <row r="22">
      <c r="A22" s="14" t="inlineStr">
        <is>
          <t>$200.01 to $499.99</t>
        </is>
      </c>
      <c r="B22" s="44" t="n">
        <v>122396.32</v>
      </c>
      <c r="C22" s="22">
        <f>IF(AND(ISNUMBER(B22),ISNUMBER(B26),B26&lt;&gt;0),B22/B26,"")</f>
        <v/>
      </c>
      <c r="D22" s="49" t="n">
        <v>453</v>
      </c>
      <c r="E22" s="44" t="n">
        <v>101351.85</v>
      </c>
      <c r="F22" s="22">
        <f>IF(AND(ISNUMBER(E22),ISNUMBER(E26),E26&lt;&gt;0),E22/E26,"")</f>
        <v/>
      </c>
      <c r="G22" s="49" t="n">
        <v>372</v>
      </c>
    </row>
    <row r="23">
      <c r="A23" s="14" t="inlineStr">
        <is>
          <t>$500 to $999.99</t>
        </is>
      </c>
      <c r="B23" s="44" t="n">
        <v>151953.87</v>
      </c>
      <c r="C23" s="22">
        <f>IF(AND(ISNUMBER(B23),ISNUMBER(B26),B26&lt;&gt;0),B23/B26,"")</f>
        <v/>
      </c>
      <c r="D23" s="49" t="n">
        <v>292</v>
      </c>
      <c r="E23" s="44" t="n">
        <v>250771.82</v>
      </c>
      <c r="F23" s="22">
        <f>IF(AND(ISNUMBER(E23),ISNUMBER(E26),E26&lt;&gt;0),E23/E26,"")</f>
        <v/>
      </c>
      <c r="G23" s="49" t="n">
        <v>443</v>
      </c>
    </row>
    <row r="24">
      <c r="A24" s="14" t="inlineStr">
        <is>
          <t>$1,000 to $1,999.99</t>
        </is>
      </c>
      <c r="B24" s="44" t="n">
        <v>243422.46</v>
      </c>
      <c r="C24" s="22">
        <f>IF(AND(ISNUMBER(B24),ISNUMBER(B26),B26&lt;&gt;0),B24/B26,"")</f>
        <v/>
      </c>
      <c r="D24" s="49" t="n">
        <v>224</v>
      </c>
      <c r="E24" s="44" t="n">
        <v>598054.96</v>
      </c>
      <c r="F24" s="22">
        <f>IF(AND(ISNUMBER(E24),ISNUMBER(E26),E26&lt;&gt;0),E24/E26,"")</f>
        <v/>
      </c>
      <c r="G24" s="49" t="n">
        <v>482</v>
      </c>
    </row>
    <row r="25">
      <c r="A25" s="14" t="inlineStr">
        <is>
          <t>$2,000 and over</t>
        </is>
      </c>
      <c r="B25" s="44" t="n">
        <v>798593.73</v>
      </c>
      <c r="C25" s="22">
        <f>IF(AND(ISNUMBER(B25),ISNUMBER(B26),B26&lt;&gt;0),B25/B26,"")</f>
        <v/>
      </c>
      <c r="D25" s="49" t="n">
        <v>246</v>
      </c>
      <c r="E25" s="44" t="n">
        <v>1814220.05</v>
      </c>
      <c r="F25" s="22">
        <f>IF(AND(ISNUMBER(E25),ISNUMBER(E26),E26&lt;&gt;0),E25/E26,"")</f>
        <v/>
      </c>
      <c r="G25" s="49" t="n">
        <v>607</v>
      </c>
    </row>
    <row r="26">
      <c r="A26" s="15" t="inlineStr">
        <is>
          <t>TOTAL, all gifts</t>
        </is>
      </c>
      <c r="B26" s="17">
        <f>SUM(B21:B25)</f>
        <v/>
      </c>
      <c r="C26" s="39">
        <f>IF(AND(ISNUMBER(B26),ISNUMBER(B26),B26&lt;&gt;0),B26/B26,"")</f>
        <v/>
      </c>
      <c r="D26" s="20" t="n"/>
      <c r="E26" s="17">
        <f>SUM(E21:E25)</f>
        <v/>
      </c>
      <c r="F26" s="39">
        <f>IF(AND(ISNUMBER(E26),ISNUMBER(E26),E26&lt;&gt;0),E26/E26,"")</f>
        <v/>
      </c>
      <c r="G26" s="20" t="n"/>
    </row>
    <row r="27" ht="36" customHeight="1">
      <c r="A27" s="32" t="inlineStr">
        <is>
          <t>Gifts of $200 or less are not itemized by donor, so their count is not reported. This table covers all receipts from individuals; the tables above and below cover itemized gifts only.</t>
        </is>
      </c>
    </row>
    <row r="29" ht="18" customHeight="1">
      <c r="A29" s="3" t="inlineStr">
        <is>
          <t>IN THE DISTRICT</t>
        </is>
      </c>
      <c r="B29" s="4" t="n"/>
      <c r="C29" s="4" t="n"/>
      <c r="D29" s="4" t="n"/>
      <c r="E29" s="4" t="n"/>
      <c r="F29" s="4" t="n"/>
      <c r="G29" s="4" t="n"/>
    </row>
    <row r="30" ht="32" customHeight="1">
      <c r="A30" s="10" t="inlineStr"/>
      <c r="B30" s="10" t="inlineStr">
        <is>
          <t>Bob Brooks (D)</t>
        </is>
      </c>
      <c r="C30" s="10" t="inlineStr">
        <is>
          <t>Share</t>
        </is>
      </c>
      <c r="D30" s="10" t="inlineStr"/>
      <c r="E30" s="10" t="inlineStr">
        <is>
          <t>Ryan Mackenzie (R)</t>
        </is>
      </c>
      <c r="F30" s="10" t="inlineStr">
        <is>
          <t>Share</t>
        </is>
      </c>
      <c r="G30" s="10" t="inlineStr"/>
    </row>
    <row r="31">
      <c r="A31" s="14" t="inlineStr">
        <is>
          <t>From zip codes 180xx, 181xx, 182xx, 183xx (Lehigh Valley and Poconos)</t>
        </is>
      </c>
      <c r="B31" s="44" t="n">
        <v>92671.33</v>
      </c>
      <c r="C31" s="22">
        <f>IF(AND(ISNUMBER(B31),ISNUMBER(B33),B33&lt;&gt;0),B31/B33,"")</f>
        <v/>
      </c>
      <c r="D31" s="52" t="n"/>
      <c r="E31" s="44" t="n">
        <v>395259.46</v>
      </c>
      <c r="F31" s="22">
        <f>IF(AND(ISNUMBER(E31),ISNUMBER(E33),E33&lt;&gt;0),E31/E33,"")</f>
        <v/>
      </c>
      <c r="G31" s="52" t="n"/>
    </row>
    <row r="32">
      <c r="A32" s="14" t="inlineStr">
        <is>
          <t>From everywhere else</t>
        </is>
      </c>
      <c r="B32" s="42">
        <f>IF(AND(ISNUMBER(B31),ISNUMBER(B33)),B33-B31,"")</f>
        <v/>
      </c>
      <c r="C32" s="22">
        <f>IF(AND(ISNUMBER(B32),ISNUMBER(B33),B33&lt;&gt;0),B32/B33,"")</f>
        <v/>
      </c>
      <c r="D32" s="52" t="n"/>
      <c r="E32" s="42">
        <f>IF(AND(ISNUMBER(E31),ISNUMBER(E33)),E33-E31,"")</f>
        <v/>
      </c>
      <c r="F32" s="22">
        <f>IF(AND(ISNUMBER(E32),ISNUMBER(E33),E33&lt;&gt;0),E32/E33,"")</f>
        <v/>
      </c>
      <c r="G32" s="52" t="n"/>
    </row>
    <row r="33">
      <c r="A33" s="15" t="inlineStr">
        <is>
          <t>TOTAL itemized, by zip</t>
        </is>
      </c>
      <c r="B33" s="53" t="n">
        <v>1362106.16</v>
      </c>
      <c r="C33" s="39">
        <f>IF(AND(ISNUMBER(B33),ISNUMBER(B33),B33&lt;&gt;0),B33/B33,"")</f>
        <v/>
      </c>
      <c r="D33" s="20" t="n"/>
      <c r="E33" s="53" t="n">
        <v>2944555.07</v>
      </c>
      <c r="F33" s="39">
        <f>IF(AND(ISNUMBER(E33),ISNUMBER(E33),E33&lt;&gt;0),E33/E33,"")</f>
        <v/>
      </c>
      <c r="G33" s="20" t="n"/>
    </row>
    <row r="34" ht="24" customHeight="1">
      <c r="A34" s="32" t="inlineStr">
        <is>
          <t>Approximate. The FEC records no district for a donor; zip prefix is the closest available proxy and these prefixes reach slightly beyond the district line.</t>
        </is>
      </c>
    </row>
    <row r="36" ht="18" customHeight="1">
      <c r="A36" s="3" t="inlineStr">
        <is>
          <t>TOP OCCUPATIONS, BOB BROOKS (D)</t>
        </is>
      </c>
      <c r="B36" s="4" t="n"/>
      <c r="C36" s="4" t="n"/>
      <c r="D36" s="4" t="n"/>
      <c r="E36" s="4" t="n"/>
      <c r="F36" s="4" t="n"/>
      <c r="G36" s="4" t="n"/>
    </row>
    <row r="37" ht="32" customHeight="1">
      <c r="A37" s="10" t="inlineStr">
        <is>
          <t>Occupation, as reported by the donor</t>
        </is>
      </c>
      <c r="B37" s="10" t="inlineStr">
        <is>
          <t>Amount</t>
        </is>
      </c>
      <c r="C37" s="10" t="inlineStr">
        <is>
          <t>Gifts</t>
        </is>
      </c>
      <c r="D37" s="10" t="inlineStr"/>
      <c r="E37" s="10" t="inlineStr"/>
      <c r="F37" s="10" t="inlineStr"/>
      <c r="G37" s="10" t="inlineStr"/>
    </row>
    <row r="38">
      <c r="A38" s="14" t="inlineStr">
        <is>
          <t>Not Employed</t>
        </is>
      </c>
      <c r="B38" s="44" t="n">
        <v>453408.96</v>
      </c>
      <c r="C38" s="49" t="n">
        <v>950</v>
      </c>
    </row>
    <row r="39">
      <c r="A39" s="14" t="inlineStr">
        <is>
          <t>Retired</t>
        </is>
      </c>
      <c r="B39" s="44" t="n">
        <v>112066.52</v>
      </c>
      <c r="C39" s="49" t="n">
        <v>121</v>
      </c>
    </row>
    <row r="40">
      <c r="A40" s="14" t="inlineStr">
        <is>
          <t>No Employer</t>
        </is>
      </c>
      <c r="B40" s="44" t="n">
        <v>98780.55</v>
      </c>
      <c r="C40" s="49" t="n">
        <v>118</v>
      </c>
    </row>
    <row r="41">
      <c r="A41" s="14" t="inlineStr">
        <is>
          <t>Attorney</t>
        </is>
      </c>
      <c r="B41" s="44" t="n">
        <v>58164.13</v>
      </c>
      <c r="C41" s="49" t="n">
        <v>77</v>
      </c>
    </row>
    <row r="42">
      <c r="A42" s="14" t="inlineStr">
        <is>
          <t>Ceo</t>
        </is>
      </c>
      <c r="B42" s="44" t="n">
        <v>44343.9</v>
      </c>
      <c r="C42" s="49" t="n">
        <v>21</v>
      </c>
    </row>
    <row r="43">
      <c r="A43" s="14" t="inlineStr">
        <is>
          <t>Physician</t>
        </is>
      </c>
      <c r="B43" s="44" t="n">
        <v>26135.41</v>
      </c>
      <c r="C43" s="49" t="n">
        <v>38</v>
      </c>
    </row>
    <row r="44">
      <c r="A44" s="14" t="inlineStr">
        <is>
          <t>Firefighter</t>
        </is>
      </c>
      <c r="B44" s="44" t="n">
        <v>25304</v>
      </c>
      <c r="C44" s="49" t="n">
        <v>86</v>
      </c>
    </row>
    <row r="45">
      <c r="A45" s="14" t="inlineStr">
        <is>
          <t>Consultant</t>
        </is>
      </c>
      <c r="B45" s="44" t="n">
        <v>25083.33</v>
      </c>
      <c r="C45" s="49" t="n">
        <v>53</v>
      </c>
    </row>
    <row r="46">
      <c r="A46" s="14" t="inlineStr">
        <is>
          <t>President</t>
        </is>
      </c>
      <c r="B46" s="44" t="n">
        <v>22300</v>
      </c>
      <c r="C46" s="49" t="n">
        <v>23</v>
      </c>
    </row>
    <row r="47">
      <c r="A47" s="14" t="inlineStr">
        <is>
          <t>Null</t>
        </is>
      </c>
      <c r="B47" s="44" t="n">
        <v>20900</v>
      </c>
      <c r="C47" s="49" t="n">
        <v>17</v>
      </c>
    </row>
    <row r="49" ht="18" customHeight="1">
      <c r="A49" s="3" t="inlineStr">
        <is>
          <t>TOP OCCUPATIONS, RYAN MACKENZIE (R)</t>
        </is>
      </c>
      <c r="B49" s="4" t="n"/>
      <c r="C49" s="4" t="n"/>
      <c r="D49" s="4" t="n"/>
      <c r="E49" s="4" t="n"/>
      <c r="F49" s="4" t="n"/>
      <c r="G49" s="4" t="n"/>
    </row>
    <row r="50" ht="32" customHeight="1">
      <c r="A50" s="10" t="inlineStr">
        <is>
          <t>Occupation, as reported by the donor</t>
        </is>
      </c>
      <c r="B50" s="10" t="inlineStr">
        <is>
          <t>Amount</t>
        </is>
      </c>
      <c r="C50" s="10" t="inlineStr">
        <is>
          <t>Gifts</t>
        </is>
      </c>
      <c r="D50" s="10" t="inlineStr"/>
      <c r="E50" s="10" t="inlineStr"/>
      <c r="F50" s="10" t="inlineStr"/>
      <c r="G50" s="10" t="inlineStr"/>
    </row>
    <row r="51">
      <c r="A51" s="14" t="inlineStr">
        <is>
          <t>Retired</t>
        </is>
      </c>
      <c r="B51" s="44" t="n">
        <v>757056.16</v>
      </c>
      <c r="C51" s="49" t="n">
        <v>10536</v>
      </c>
    </row>
    <row r="52">
      <c r="A52" s="14" t="inlineStr">
        <is>
          <t>Ceo</t>
        </is>
      </c>
      <c r="B52" s="44" t="n">
        <v>309337.13</v>
      </c>
      <c r="C52" s="49" t="n">
        <v>275</v>
      </c>
    </row>
    <row r="53">
      <c r="A53" s="14" t="inlineStr">
        <is>
          <t>Owner</t>
        </is>
      </c>
      <c r="B53" s="44" t="n">
        <v>169174.26</v>
      </c>
      <c r="C53" s="49" t="n">
        <v>142</v>
      </c>
    </row>
    <row r="54">
      <c r="A54" s="14" t="inlineStr">
        <is>
          <t>Chairman</t>
        </is>
      </c>
      <c r="B54" s="44" t="n">
        <v>126323.31</v>
      </c>
      <c r="C54" s="49" t="n">
        <v>75</v>
      </c>
    </row>
    <row r="55">
      <c r="A55" s="14" t="inlineStr">
        <is>
          <t>President</t>
        </is>
      </c>
      <c r="B55" s="44" t="n">
        <v>124651.54</v>
      </c>
      <c r="C55" s="49" t="n">
        <v>94</v>
      </c>
    </row>
    <row r="56">
      <c r="A56" s="14" t="inlineStr">
        <is>
          <t>Executive</t>
        </is>
      </c>
      <c r="B56" s="44" t="n">
        <v>107698.83</v>
      </c>
      <c r="C56" s="49" t="n">
        <v>71</v>
      </c>
    </row>
    <row r="57">
      <c r="A57" s="14" t="inlineStr">
        <is>
          <t>Founder</t>
        </is>
      </c>
      <c r="B57" s="44" t="n">
        <v>105830.87</v>
      </c>
      <c r="C57" s="49" t="n">
        <v>51</v>
      </c>
    </row>
    <row r="58">
      <c r="A58" s="14" t="inlineStr">
        <is>
          <t>Homemaker</t>
        </is>
      </c>
      <c r="B58" s="44" t="n">
        <v>76092.81</v>
      </c>
      <c r="C58" s="49" t="n">
        <v>49</v>
      </c>
    </row>
    <row r="59">
      <c r="A59" s="14" t="inlineStr">
        <is>
          <t>Investor</t>
        </is>
      </c>
      <c r="B59" s="44" t="n">
        <v>75497.97</v>
      </c>
      <c r="C59" s="49" t="n">
        <v>58</v>
      </c>
    </row>
    <row r="60">
      <c r="A60" s="14" t="inlineStr">
        <is>
          <t>Attorney</t>
        </is>
      </c>
      <c r="B60" s="44" t="n">
        <v>68701.13</v>
      </c>
      <c r="C60" s="49" t="n">
        <v>67</v>
      </c>
    </row>
    <row r="62" ht="48" customHeight="1">
      <c r="A62" s="32" t="inlineStr">
        <is>
          <t>Contribution figures are FEC aggregates of itemized contributions, those over $200. They include contributions routed through a joint fundraising committee, so a candidate whose receipts include a large transfer will show a by-state total above the committee's own individual-contribution line.</t>
        </is>
      </c>
    </row>
  </sheetData>
  <mergeCells count="3">
    <mergeCell ref="A27:G27"/>
    <mergeCell ref="A62:G62"/>
    <mergeCell ref="A34:G34"/>
  </mergeCells>
  <pageMargins left="0.75" right="0.75" top="1" bottom="1" header="0.5" footer="0.5"/>
</worksheet>
</file>

<file path=xl/worksheets/sheet9.xml><?xml version="1.0" encoding="utf-8"?>
<worksheet xmlns="http://schemas.openxmlformats.org/spreadsheetml/2006/main">
  <sheetPr>
    <tabColor rgb="001F3864"/>
    <outlinePr summaryBelow="1" summaryRight="1"/>
    <pageSetUpPr/>
  </sheetPr>
  <dimension ref="A1:J160"/>
  <sheetViews>
    <sheetView workbookViewId="0">
      <pane ySplit="20" topLeftCell="A21" activePane="bottomLeft" state="frozen"/>
      <selection pane="bottomLeft" activeCell="A1" sqref="A1"/>
    </sheetView>
  </sheetViews>
  <sheetFormatPr baseColWidth="8" defaultRowHeight="15"/>
  <cols>
    <col width="36" customWidth="1" min="1" max="1"/>
    <col width="18" customWidth="1" min="2" max="2"/>
    <col width="9" customWidth="1" min="3" max="3"/>
    <col width="22" customWidth="1" min="4" max="4"/>
    <col width="34" customWidth="1" min="5" max="5"/>
    <col width="18" customWidth="1" min="6" max="6"/>
    <col width="7" customWidth="1" min="7" max="7"/>
    <col width="13" customWidth="1" min="8" max="8"/>
    <col width="11" customWidth="1" min="9" max="9"/>
    <col width="10" customWidth="1" min="10" max="10"/>
  </cols>
  <sheetData>
    <row r="1">
      <c r="A1" s="1" t="inlineStr">
        <is>
          <t>What each outside group bought</t>
        </is>
      </c>
    </row>
    <row r="2">
      <c r="A2" s="2" t="inlineStr">
        <is>
          <t>Every itemized independent expenditure about one of the two nominees, 2026 cycle. Notices and memo entries removed; the total equals FEC's by_candidate aggregate for the nominees. Largest first.</t>
        </is>
      </c>
    </row>
    <row r="4" ht="18" customHeight="1">
      <c r="A4" s="3" t="inlineStr">
        <is>
          <t>BY WHAT WAS BOUGHT</t>
        </is>
      </c>
      <c r="B4" s="4" t="n"/>
      <c r="C4" s="4" t="n"/>
      <c r="D4" s="4" t="n"/>
      <c r="E4" s="4" t="n"/>
      <c r="F4" s="4" t="n"/>
      <c r="G4" s="4" t="n"/>
      <c r="H4" s="4" t="n"/>
      <c r="I4" s="4" t="n"/>
      <c r="J4" s="4" t="n"/>
    </row>
    <row r="5" ht="32" customHeight="1">
      <c r="A5" s="10" t="inlineStr">
        <is>
          <t>Category</t>
        </is>
      </c>
      <c r="B5" s="10" t="inlineStr">
        <is>
          <t>Amount</t>
        </is>
      </c>
      <c r="C5" s="10" t="inlineStr">
        <is>
          <t>Share</t>
        </is>
      </c>
      <c r="D5" s="10" t="inlineStr">
        <is>
          <t>Items</t>
        </is>
      </c>
      <c r="E5" s="10" t="inlineStr"/>
      <c r="F5" s="10" t="inlineStr"/>
      <c r="G5" s="10" t="inlineStr"/>
      <c r="H5" s="10" t="inlineStr"/>
      <c r="I5" s="10" t="inlineStr"/>
      <c r="J5" s="10" t="inlineStr"/>
    </row>
    <row r="6">
      <c r="A6" s="14" t="inlineStr">
        <is>
          <t>Digital advertising</t>
        </is>
      </c>
      <c r="B6" s="42">
        <f>SUMIFS($H$21:$H$158,$I$21:$I$158,A6)</f>
        <v/>
      </c>
      <c r="C6" s="22">
        <f>IFERROR(B6/$H$159,"")</f>
        <v/>
      </c>
      <c r="D6" s="54">
        <f>COUNTIFS($I$21:$I$158,A6)</f>
        <v/>
      </c>
    </row>
    <row r="7">
      <c r="A7" s="14" t="inlineStr">
        <is>
          <t>Radio</t>
        </is>
      </c>
      <c r="B7" s="42">
        <f>SUMIFS($H$21:$H$158,$I$21:$I$158,A7)</f>
        <v/>
      </c>
      <c r="C7" s="22">
        <f>IFERROR(B7/$H$159,"")</f>
        <v/>
      </c>
      <c r="D7" s="54">
        <f>COUNTIFS($I$21:$I$158,A7)</f>
        <v/>
      </c>
    </row>
    <row r="8">
      <c r="A8" s="14" t="inlineStr">
        <is>
          <t>Texting and phone calls</t>
        </is>
      </c>
      <c r="B8" s="42">
        <f>SUMIFS($H$21:$H$158,$I$21:$I$158,A8)</f>
        <v/>
      </c>
      <c r="C8" s="22">
        <f>IFERROR(B8/$H$159,"")</f>
        <v/>
      </c>
      <c r="D8" s="54">
        <f>COUNTIFS($I$21:$I$158,A8)</f>
        <v/>
      </c>
    </row>
    <row r="9">
      <c r="A9" s="14" t="inlineStr">
        <is>
          <t>Email</t>
        </is>
      </c>
      <c r="B9" s="42">
        <f>SUMIFS($H$21:$H$158,$I$21:$I$158,A9)</f>
        <v/>
      </c>
      <c r="C9" s="22">
        <f>IFERROR(B9/$H$159,"")</f>
        <v/>
      </c>
      <c r="D9" s="54">
        <f>COUNTIFS($I$21:$I$158,A9)</f>
        <v/>
      </c>
    </row>
    <row r="10">
      <c r="A10" s="14" t="inlineStr">
        <is>
          <t>Mail and print</t>
        </is>
      </c>
      <c r="B10" s="42">
        <f>SUMIFS($H$21:$H$158,$I$21:$I$158,A10)</f>
        <v/>
      </c>
      <c r="C10" s="22">
        <f>IFERROR(B10/$H$159,"")</f>
        <v/>
      </c>
      <c r="D10" s="54">
        <f>COUNTIFS($I$21:$I$158,A10)</f>
        <v/>
      </c>
    </row>
    <row r="11">
      <c r="A11" s="14" t="inlineStr">
        <is>
          <t>Canvassing and field</t>
        </is>
      </c>
      <c r="B11" s="42">
        <f>SUMIFS($H$21:$H$158,$I$21:$I$158,A11)</f>
        <v/>
      </c>
      <c r="C11" s="22">
        <f>IFERROR(B11/$H$159,"")</f>
        <v/>
      </c>
      <c r="D11" s="54">
        <f>COUNTIFS($I$21:$I$158,A11)</f>
        <v/>
      </c>
    </row>
    <row r="12">
      <c r="A12" s="14" t="inlineStr">
        <is>
          <t>Television and media buys</t>
        </is>
      </c>
      <c r="B12" s="42">
        <f>SUMIFS($H$21:$H$158,$I$21:$I$158,A12)</f>
        <v/>
      </c>
      <c r="C12" s="22">
        <f>IFERROR(B12/$H$159,"")</f>
        <v/>
      </c>
      <c r="D12" s="54">
        <f>COUNTIFS($I$21:$I$158,A12)</f>
        <v/>
      </c>
    </row>
    <row r="13">
      <c r="A13" s="14" t="inlineStr">
        <is>
          <t>Production</t>
        </is>
      </c>
      <c r="B13" s="42">
        <f>SUMIFS($H$21:$H$158,$I$21:$I$158,A13)</f>
        <v/>
      </c>
      <c r="C13" s="22">
        <f>IFERROR(B13/$H$159,"")</f>
        <v/>
      </c>
      <c r="D13" s="54">
        <f>COUNTIFS($I$21:$I$158,A13)</f>
        <v/>
      </c>
    </row>
    <row r="14">
      <c r="A14" s="14" t="inlineStr">
        <is>
          <t>Data</t>
        </is>
      </c>
      <c r="B14" s="42">
        <f>SUMIFS($H$21:$H$158,$I$21:$I$158,A14)</f>
        <v/>
      </c>
      <c r="C14" s="22">
        <f>IFERROR(B14/$H$159,"")</f>
        <v/>
      </c>
      <c r="D14" s="54">
        <f>COUNTIFS($I$21:$I$158,A14)</f>
        <v/>
      </c>
    </row>
    <row r="15">
      <c r="A15" s="14" t="inlineStr">
        <is>
          <t>Other</t>
        </is>
      </c>
      <c r="B15" s="42">
        <f>SUMIFS($H$21:$H$158,$I$21:$I$158,A15)</f>
        <v/>
      </c>
      <c r="C15" s="22">
        <f>IFERROR(B15/$H$159,"")</f>
        <v/>
      </c>
      <c r="D15" s="54">
        <f>COUNTIFS($I$21:$I$158,A15)</f>
        <v/>
      </c>
    </row>
    <row r="16">
      <c r="A16" s="15" t="inlineStr">
        <is>
          <t>TOTAL</t>
        </is>
      </c>
      <c r="B16" s="17">
        <f>SUM(B6:B15)</f>
        <v/>
      </c>
      <c r="C16" s="20" t="n"/>
      <c r="D16" s="50">
        <f>SUM(D6:D15)</f>
        <v/>
      </c>
    </row>
    <row r="19" ht="18" customHeight="1">
      <c r="A19" s="3" t="inlineStr">
        <is>
          <t>EVERY ITEMIZED EXPENDITURE</t>
        </is>
      </c>
      <c r="B19" s="4" t="n"/>
      <c r="C19" s="4" t="n"/>
      <c r="D19" s="4" t="n"/>
      <c r="E19" s="4" t="n"/>
      <c r="F19" s="4" t="n"/>
      <c r="G19" s="4" t="n"/>
      <c r="H19" s="4" t="n"/>
      <c r="I19" s="4" t="n"/>
      <c r="J19" s="4" t="n"/>
    </row>
    <row r="20" ht="32" customHeight="1">
      <c r="A20" s="10" t="inlineStr">
        <is>
          <t>Committee</t>
        </is>
      </c>
      <c r="B20" s="10" t="inlineStr">
        <is>
          <t>About</t>
        </is>
      </c>
      <c r="C20" s="10" t="inlineStr">
        <is>
          <t>Stance</t>
        </is>
      </c>
      <c r="D20" s="10" t="inlineStr">
        <is>
          <t>What was bought</t>
        </is>
      </c>
      <c r="E20" s="10" t="inlineStr">
        <is>
          <t>Paid to</t>
        </is>
      </c>
      <c r="F20" s="10" t="inlineStr">
        <is>
          <t>City</t>
        </is>
      </c>
      <c r="G20" s="10" t="inlineStr">
        <is>
          <t>State</t>
        </is>
      </c>
      <c r="H20" s="10" t="inlineStr">
        <is>
          <t>Amount</t>
        </is>
      </c>
      <c r="I20" s="10" t="inlineStr">
        <is>
          <t>Category</t>
        </is>
      </c>
      <c r="J20" s="10" t="inlineStr">
        <is>
          <t>Date</t>
        </is>
      </c>
    </row>
    <row r="21">
      <c r="A21" s="14" t="inlineStr">
        <is>
          <t>Stronger Together PA</t>
        </is>
      </c>
      <c r="B21" s="14" t="inlineStr">
        <is>
          <t>Bob Brooks</t>
        </is>
      </c>
      <c r="C21" s="46" t="inlineStr">
        <is>
          <t>Supports</t>
        </is>
      </c>
      <c r="D21" s="14" t="inlineStr">
        <is>
          <t>Ad Buy</t>
        </is>
      </c>
      <c r="E21" s="14" t="inlineStr">
        <is>
          <t>Technicolor Campaigns, LLC</t>
        </is>
      </c>
      <c r="F21" s="14" t="inlineStr">
        <is>
          <t>Philadelphia</t>
        </is>
      </c>
      <c r="G21" s="14" t="inlineStr">
        <is>
          <t>PA</t>
        </is>
      </c>
      <c r="H21" s="47" t="n">
        <v>306418</v>
      </c>
      <c r="I21" s="14" t="inlineStr">
        <is>
          <t>Television and media buys</t>
        </is>
      </c>
      <c r="J21" s="14" t="inlineStr">
        <is>
          <t>2026-05-05</t>
        </is>
      </c>
    </row>
    <row r="22">
      <c r="A22" s="14" t="inlineStr">
        <is>
          <t>Stronger Together PA</t>
        </is>
      </c>
      <c r="B22" s="14" t="inlineStr">
        <is>
          <t>Bob Brooks</t>
        </is>
      </c>
      <c r="C22" s="46" t="inlineStr">
        <is>
          <t>Supports</t>
        </is>
      </c>
      <c r="D22" s="14" t="inlineStr">
        <is>
          <t>Ad Buy</t>
        </is>
      </c>
      <c r="E22" s="14" t="inlineStr">
        <is>
          <t>Technicolor Campaigns, LLC</t>
        </is>
      </c>
      <c r="F22" s="14" t="inlineStr">
        <is>
          <t>Philadelphia</t>
        </is>
      </c>
      <c r="G22" s="14" t="inlineStr">
        <is>
          <t>PA</t>
        </is>
      </c>
      <c r="H22" s="47" t="n">
        <v>272247</v>
      </c>
      <c r="I22" s="14" t="inlineStr">
        <is>
          <t>Television and media buys</t>
        </is>
      </c>
      <c r="J22" s="14" t="inlineStr">
        <is>
          <t>2026-04-01</t>
        </is>
      </c>
    </row>
    <row r="23">
      <c r="A23" s="14" t="inlineStr">
        <is>
          <t>Jobs and Democracy PAC</t>
        </is>
      </c>
      <c r="B23" s="14" t="inlineStr">
        <is>
          <t>Bob Brooks</t>
        </is>
      </c>
      <c r="C23" s="46" t="inlineStr">
        <is>
          <t>Supports</t>
        </is>
      </c>
      <c r="D23" s="14" t="inlineStr">
        <is>
          <t>Digital Buy</t>
        </is>
      </c>
      <c r="E23" s="14" t="inlineStr">
        <is>
          <t>Bryson Gillette, LLC</t>
        </is>
      </c>
      <c r="F23" s="14" t="inlineStr">
        <is>
          <t>Santa Barbara</t>
        </is>
      </c>
      <c r="G23" s="14" t="inlineStr">
        <is>
          <t>CA</t>
        </is>
      </c>
      <c r="H23" s="47" t="n">
        <v>249750</v>
      </c>
      <c r="I23" s="14" t="inlineStr">
        <is>
          <t>Digital advertising</t>
        </is>
      </c>
      <c r="J23" s="14" t="inlineStr">
        <is>
          <t>2026-05-15</t>
        </is>
      </c>
    </row>
    <row r="24">
      <c r="A24" s="14" t="inlineStr">
        <is>
          <t>Stronger Together PA</t>
        </is>
      </c>
      <c r="B24" s="14" t="inlineStr">
        <is>
          <t>Bob Brooks</t>
        </is>
      </c>
      <c r="C24" s="46" t="inlineStr">
        <is>
          <t>Supports</t>
        </is>
      </c>
      <c r="D24" s="14" t="inlineStr">
        <is>
          <t>Ad Buy</t>
        </is>
      </c>
      <c r="E24" s="14" t="inlineStr">
        <is>
          <t>Technicolor Campaigns, LLC</t>
        </is>
      </c>
      <c r="F24" s="14" t="inlineStr">
        <is>
          <t>Philadelphia</t>
        </is>
      </c>
      <c r="G24" s="14" t="inlineStr">
        <is>
          <t>PA</t>
        </is>
      </c>
      <c r="H24" s="47" t="n">
        <v>175000</v>
      </c>
      <c r="I24" s="14" t="inlineStr">
        <is>
          <t>Television and media buys</t>
        </is>
      </c>
      <c r="J24" s="14" t="inlineStr">
        <is>
          <t>2026-05-13</t>
        </is>
      </c>
    </row>
    <row r="25">
      <c r="A25" s="14" t="inlineStr">
        <is>
          <t>Stronger Together PA</t>
        </is>
      </c>
      <c r="B25" s="14" t="inlineStr">
        <is>
          <t>Bob Brooks</t>
        </is>
      </c>
      <c r="C25" s="46" t="inlineStr">
        <is>
          <t>Supports</t>
        </is>
      </c>
      <c r="D25" s="14" t="inlineStr">
        <is>
          <t>Ad Buy</t>
        </is>
      </c>
      <c r="E25" s="14" t="inlineStr">
        <is>
          <t>Technicolor Campaigns, LLC</t>
        </is>
      </c>
      <c r="F25" s="14" t="inlineStr">
        <is>
          <t>Philadelphia</t>
        </is>
      </c>
      <c r="G25" s="14" t="inlineStr">
        <is>
          <t>PA</t>
        </is>
      </c>
      <c r="H25" s="47" t="n">
        <v>154509</v>
      </c>
      <c r="I25" s="14" t="inlineStr">
        <is>
          <t>Television and media buys</t>
        </is>
      </c>
      <c r="J25" s="14" t="inlineStr">
        <is>
          <t>2026-04-23</t>
        </is>
      </c>
    </row>
    <row r="26">
      <c r="A26" s="14" t="inlineStr">
        <is>
          <t>Stronger Together PA</t>
        </is>
      </c>
      <c r="B26" s="14" t="inlineStr">
        <is>
          <t>Bob Brooks</t>
        </is>
      </c>
      <c r="C26" s="46" t="inlineStr">
        <is>
          <t>Supports</t>
        </is>
      </c>
      <c r="D26" s="14" t="inlineStr">
        <is>
          <t>Ad Buy</t>
        </is>
      </c>
      <c r="E26" s="14" t="inlineStr">
        <is>
          <t>Technicolor Campaigns, LLC</t>
        </is>
      </c>
      <c r="F26" s="14" t="inlineStr">
        <is>
          <t>Philadelphia</t>
        </is>
      </c>
      <c r="G26" s="14" t="inlineStr">
        <is>
          <t>PA</t>
        </is>
      </c>
      <c r="H26" s="47" t="n">
        <v>150000</v>
      </c>
      <c r="I26" s="14" t="inlineStr">
        <is>
          <t>Television and media buys</t>
        </is>
      </c>
      <c r="J26" s="14" t="inlineStr">
        <is>
          <t>2026-05-15</t>
        </is>
      </c>
    </row>
    <row r="27">
      <c r="A27" s="14" t="inlineStr">
        <is>
          <t>Hmp</t>
        </is>
      </c>
      <c r="B27" s="14" t="inlineStr">
        <is>
          <t>Ryan Mackenzie</t>
        </is>
      </c>
      <c r="C27" s="46" t="inlineStr">
        <is>
          <t>Opposes</t>
        </is>
      </c>
      <c r="D27" s="14" t="inlineStr">
        <is>
          <t>Digital Advertising</t>
        </is>
      </c>
      <c r="E27" s="14" t="inlineStr">
        <is>
          <t>Gambit Strategies LLC</t>
        </is>
      </c>
      <c r="F27" s="14" t="inlineStr">
        <is>
          <t>Washington</t>
        </is>
      </c>
      <c r="G27" s="14" t="inlineStr">
        <is>
          <t>DC</t>
        </is>
      </c>
      <c r="H27" s="47" t="n">
        <v>130875</v>
      </c>
      <c r="I27" s="14" t="inlineStr">
        <is>
          <t>Digital advertising</t>
        </is>
      </c>
      <c r="J27" s="14" t="inlineStr">
        <is>
          <t>2026-09-25</t>
        </is>
      </c>
    </row>
    <row r="28">
      <c r="A28" s="14" t="inlineStr">
        <is>
          <t>Hmp</t>
        </is>
      </c>
      <c r="B28" s="14" t="inlineStr">
        <is>
          <t>Ryan Mackenzie</t>
        </is>
      </c>
      <c r="C28" s="46" t="inlineStr">
        <is>
          <t>Opposes</t>
        </is>
      </c>
      <c r="D28" s="14" t="inlineStr">
        <is>
          <t>Digital Advertising</t>
        </is>
      </c>
      <c r="E28" s="14" t="inlineStr">
        <is>
          <t>Gambit Strategies LLC</t>
        </is>
      </c>
      <c r="F28" s="14" t="inlineStr">
        <is>
          <t>Washington</t>
        </is>
      </c>
      <c r="G28" s="14" t="inlineStr">
        <is>
          <t>DC</t>
        </is>
      </c>
      <c r="H28" s="47" t="n">
        <v>130875</v>
      </c>
      <c r="I28" s="14" t="inlineStr">
        <is>
          <t>Digital advertising</t>
        </is>
      </c>
      <c r="J28" s="14" t="inlineStr">
        <is>
          <t>2026-09-23</t>
        </is>
      </c>
    </row>
    <row r="29">
      <c r="A29" s="14" t="inlineStr">
        <is>
          <t>Congressional Progressive Caucus PAC</t>
        </is>
      </c>
      <c r="B29" s="14" t="inlineStr">
        <is>
          <t>Bob Brooks</t>
        </is>
      </c>
      <c r="C29" s="46" t="inlineStr">
        <is>
          <t>Supports</t>
        </is>
      </c>
      <c r="D29" s="14" t="inlineStr">
        <is>
          <t>Digital Ad Buy - Estimate</t>
        </is>
      </c>
      <c r="E29" s="14" t="inlineStr">
        <is>
          <t>Viewpoint Media LLC</t>
        </is>
      </c>
      <c r="F29" s="14" t="inlineStr">
        <is>
          <t>Berkeley</t>
        </is>
      </c>
      <c r="G29" s="14" t="inlineStr">
        <is>
          <t>CA</t>
        </is>
      </c>
      <c r="H29" s="47" t="n">
        <v>128000</v>
      </c>
      <c r="I29" s="14" t="inlineStr">
        <is>
          <t>Digital advertising</t>
        </is>
      </c>
      <c r="J29" s="14" t="inlineStr">
        <is>
          <t>2026-04-24</t>
        </is>
      </c>
    </row>
    <row r="30">
      <c r="A30" s="14" t="inlineStr">
        <is>
          <t>Hmp</t>
        </is>
      </c>
      <c r="B30" s="14" t="inlineStr">
        <is>
          <t>Ryan Mackenzie</t>
        </is>
      </c>
      <c r="C30" s="46" t="inlineStr">
        <is>
          <t>Opposes</t>
        </is>
      </c>
      <c r="D30" s="14" t="inlineStr">
        <is>
          <t>Digital Advertising</t>
        </is>
      </c>
      <c r="E30" s="14" t="inlineStr">
        <is>
          <t>Gambit Strategies LLC</t>
        </is>
      </c>
      <c r="F30" s="14" t="inlineStr">
        <is>
          <t>Washington</t>
        </is>
      </c>
      <c r="G30" s="14" t="inlineStr">
        <is>
          <t>DC</t>
        </is>
      </c>
      <c r="H30" s="47" t="n">
        <v>117732.94</v>
      </c>
      <c r="I30" s="14" t="inlineStr">
        <is>
          <t>Digital advertising</t>
        </is>
      </c>
      <c r="J30" s="14" t="inlineStr">
        <is>
          <t>2026-09-14</t>
        </is>
      </c>
    </row>
    <row r="31">
      <c r="A31" s="14" t="inlineStr">
        <is>
          <t>Stronger Together PA</t>
        </is>
      </c>
      <c r="B31" s="14" t="inlineStr">
        <is>
          <t>Bob Brooks</t>
        </is>
      </c>
      <c r="C31" s="46" t="inlineStr">
        <is>
          <t>Supports</t>
        </is>
      </c>
      <c r="D31" s="14" t="inlineStr">
        <is>
          <t>Ad Buy</t>
        </is>
      </c>
      <c r="E31" s="14" t="inlineStr">
        <is>
          <t>Technicolor Campaigns, LLC</t>
        </is>
      </c>
      <c r="F31" s="14" t="inlineStr">
        <is>
          <t>Philadelphia</t>
        </is>
      </c>
      <c r="G31" s="14" t="inlineStr">
        <is>
          <t>PA</t>
        </is>
      </c>
      <c r="H31" s="47" t="n">
        <v>110000</v>
      </c>
      <c r="I31" s="14" t="inlineStr">
        <is>
          <t>Television and media buys</t>
        </is>
      </c>
      <c r="J31" s="14" t="inlineStr">
        <is>
          <t>2026-05-15</t>
        </is>
      </c>
    </row>
    <row r="32">
      <c r="A32" s="14" t="inlineStr">
        <is>
          <t>Lead Left PAC</t>
        </is>
      </c>
      <c r="B32" s="14" t="inlineStr">
        <is>
          <t>Bob Brooks</t>
        </is>
      </c>
      <c r="C32" s="46" t="inlineStr">
        <is>
          <t>Opposes</t>
        </is>
      </c>
      <c r="D32" s="14" t="inlineStr">
        <is>
          <t>Media Placement / Media Production</t>
        </is>
      </c>
      <c r="E32" s="14" t="inlineStr">
        <is>
          <t>Otg Media LLC</t>
        </is>
      </c>
      <c r="F32" s="14" t="inlineStr">
        <is>
          <t>Richmond</t>
        </is>
      </c>
      <c r="G32" s="14" t="inlineStr">
        <is>
          <t>VA</t>
        </is>
      </c>
      <c r="H32" s="47" t="n">
        <v>106756.66</v>
      </c>
      <c r="I32" s="14" t="inlineStr">
        <is>
          <t>Television and media buys</t>
        </is>
      </c>
      <c r="J32" s="14" t="inlineStr">
        <is>
          <t>2026-05-05</t>
        </is>
      </c>
    </row>
    <row r="33">
      <c r="A33" s="14" t="inlineStr">
        <is>
          <t>Lead Left PAC</t>
        </is>
      </c>
      <c r="B33" s="14" t="inlineStr">
        <is>
          <t>Bob Brooks</t>
        </is>
      </c>
      <c r="C33" s="46" t="inlineStr">
        <is>
          <t>Opposes</t>
        </is>
      </c>
      <c r="D33" s="14" t="inlineStr">
        <is>
          <t>Media Placement</t>
        </is>
      </c>
      <c r="E33" s="14" t="inlineStr">
        <is>
          <t>Otg Media LLC</t>
        </is>
      </c>
      <c r="F33" s="14" t="inlineStr">
        <is>
          <t>Richmond</t>
        </is>
      </c>
      <c r="G33" s="14" t="inlineStr">
        <is>
          <t>VA</t>
        </is>
      </c>
      <c r="H33" s="47" t="n">
        <v>102333.33</v>
      </c>
      <c r="I33" s="14" t="inlineStr">
        <is>
          <t>Television and media buys</t>
        </is>
      </c>
      <c r="J33" s="14" t="inlineStr">
        <is>
          <t>2026-05-06</t>
        </is>
      </c>
    </row>
    <row r="34">
      <c r="A34" s="14" t="inlineStr">
        <is>
          <t>Medicare for All</t>
        </is>
      </c>
      <c r="B34" s="14" t="inlineStr">
        <is>
          <t>Bob Brooks</t>
        </is>
      </c>
      <c r="C34" s="46" t="inlineStr">
        <is>
          <t>Supports</t>
        </is>
      </c>
      <c r="D34" s="14" t="inlineStr">
        <is>
          <t>Digital Advertising Buy</t>
        </is>
      </c>
      <c r="E34" s="14" t="inlineStr">
        <is>
          <t>Viewpoint Media LLC</t>
        </is>
      </c>
      <c r="F34" s="14" t="inlineStr">
        <is>
          <t>Berkeley</t>
        </is>
      </c>
      <c r="G34" s="14" t="inlineStr">
        <is>
          <t>CA</t>
        </is>
      </c>
      <c r="H34" s="47" t="n">
        <v>95000</v>
      </c>
      <c r="I34" s="14" t="inlineStr">
        <is>
          <t>Digital advertising</t>
        </is>
      </c>
      <c r="J34" s="14" t="inlineStr">
        <is>
          <t>2026-05-12</t>
        </is>
      </c>
    </row>
    <row r="35">
      <c r="A35" s="14" t="inlineStr">
        <is>
          <t>Stronger Together PA</t>
        </is>
      </c>
      <c r="B35" s="14" t="inlineStr">
        <is>
          <t>Bob Brooks</t>
        </is>
      </c>
      <c r="C35" s="46" t="inlineStr">
        <is>
          <t>Supports</t>
        </is>
      </c>
      <c r="D35" s="14" t="inlineStr">
        <is>
          <t>Ad Buy</t>
        </is>
      </c>
      <c r="E35" s="14" t="inlineStr">
        <is>
          <t>Technicolor Campaigns, LLC</t>
        </is>
      </c>
      <c r="F35" s="14" t="inlineStr">
        <is>
          <t>Philadelphia</t>
        </is>
      </c>
      <c r="G35" s="14" t="inlineStr">
        <is>
          <t>PA</t>
        </is>
      </c>
      <c r="H35" s="47" t="n">
        <v>90000</v>
      </c>
      <c r="I35" s="14" t="inlineStr">
        <is>
          <t>Television and media buys</t>
        </is>
      </c>
      <c r="J35" s="14" t="inlineStr">
        <is>
          <t>2026-05-15</t>
        </is>
      </c>
    </row>
    <row r="36">
      <c r="A36" s="14" t="inlineStr">
        <is>
          <t>Stronger Together PA</t>
        </is>
      </c>
      <c r="B36" s="14" t="inlineStr">
        <is>
          <t>Bob Brooks</t>
        </is>
      </c>
      <c r="C36" s="46" t="inlineStr">
        <is>
          <t>Supports</t>
        </is>
      </c>
      <c r="D36" s="14" t="inlineStr">
        <is>
          <t>Ad Buy &amp; Ad Production</t>
        </is>
      </c>
      <c r="E36" s="14" t="inlineStr">
        <is>
          <t>Technicolor Campaigns, LLC</t>
        </is>
      </c>
      <c r="F36" s="14" t="inlineStr">
        <is>
          <t>Philadelphia</t>
        </is>
      </c>
      <c r="G36" s="14" t="inlineStr">
        <is>
          <t>PA</t>
        </is>
      </c>
      <c r="H36" s="47" t="n">
        <v>83120</v>
      </c>
      <c r="I36" s="14" t="inlineStr">
        <is>
          <t>Television and media buys</t>
        </is>
      </c>
      <c r="J36" s="14" t="inlineStr">
        <is>
          <t>2026-03-24</t>
        </is>
      </c>
    </row>
    <row r="37">
      <c r="A37" s="14" t="inlineStr">
        <is>
          <t>Stronger Together PA</t>
        </is>
      </c>
      <c r="B37" s="14" t="inlineStr">
        <is>
          <t>Bob Brooks</t>
        </is>
      </c>
      <c r="C37" s="46" t="inlineStr">
        <is>
          <t>Supports</t>
        </is>
      </c>
      <c r="D37" s="14" t="inlineStr">
        <is>
          <t>Ad Buy</t>
        </is>
      </c>
      <c r="E37" s="14" t="inlineStr">
        <is>
          <t>Technicolor Campaigns, LLC</t>
        </is>
      </c>
      <c r="F37" s="14" t="inlineStr">
        <is>
          <t>Philadelphia</t>
        </is>
      </c>
      <c r="G37" s="14" t="inlineStr">
        <is>
          <t>PA</t>
        </is>
      </c>
      <c r="H37" s="47" t="n">
        <v>80000</v>
      </c>
      <c r="I37" s="14" t="inlineStr">
        <is>
          <t>Television and media buys</t>
        </is>
      </c>
      <c r="J37" s="14" t="inlineStr">
        <is>
          <t>2026-05-12</t>
        </is>
      </c>
    </row>
    <row r="38">
      <c r="A38" s="14" t="inlineStr">
        <is>
          <t>Lead Left PAC</t>
        </is>
      </c>
      <c r="B38" s="14" t="inlineStr">
        <is>
          <t>Bob Brooks</t>
        </is>
      </c>
      <c r="C38" s="46" t="inlineStr">
        <is>
          <t>Opposes</t>
        </is>
      </c>
      <c r="D38" s="14" t="inlineStr">
        <is>
          <t>Media Placement / Media Production</t>
        </is>
      </c>
      <c r="E38" s="14" t="inlineStr">
        <is>
          <t>Piruzi LLC</t>
        </is>
      </c>
      <c r="F38" s="14" t="inlineStr">
        <is>
          <t>Pensacola</t>
        </is>
      </c>
      <c r="G38" s="14" t="inlineStr">
        <is>
          <t>FL</t>
        </is>
      </c>
      <c r="H38" s="47" t="n">
        <v>66666.67</v>
      </c>
      <c r="I38" s="14" t="inlineStr">
        <is>
          <t>Television and media buys</t>
        </is>
      </c>
      <c r="J38" s="14" t="inlineStr">
        <is>
          <t>2026-05-06</t>
        </is>
      </c>
    </row>
    <row r="39">
      <c r="A39" s="14" t="inlineStr">
        <is>
          <t>Stronger Together PA</t>
        </is>
      </c>
      <c r="B39" s="14" t="inlineStr">
        <is>
          <t>Bob Brooks</t>
        </is>
      </c>
      <c r="C39" s="46" t="inlineStr">
        <is>
          <t>Supports</t>
        </is>
      </c>
      <c r="D39" s="14" t="inlineStr">
        <is>
          <t>Ad Buy</t>
        </is>
      </c>
      <c r="E39" s="14" t="inlineStr">
        <is>
          <t>Technicolor Campaigns, LLC</t>
        </is>
      </c>
      <c r="F39" s="14" t="inlineStr">
        <is>
          <t>Philadelphia</t>
        </is>
      </c>
      <c r="G39" s="14" t="inlineStr">
        <is>
          <t>PA</t>
        </is>
      </c>
      <c r="H39" s="47" t="n">
        <v>52120</v>
      </c>
      <c r="I39" s="14" t="inlineStr">
        <is>
          <t>Television and media buys</t>
        </is>
      </c>
      <c r="J39" s="14" t="inlineStr">
        <is>
          <t>2026-03-27</t>
        </is>
      </c>
    </row>
    <row r="40">
      <c r="A40" s="14" t="inlineStr">
        <is>
          <t>Stronger Together PA</t>
        </is>
      </c>
      <c r="B40" s="14" t="inlineStr">
        <is>
          <t>Bob Brooks</t>
        </is>
      </c>
      <c r="C40" s="46" t="inlineStr">
        <is>
          <t>Supports</t>
        </is>
      </c>
      <c r="D40" s="14" t="inlineStr">
        <is>
          <t>Ad Buy</t>
        </is>
      </c>
      <c r="E40" s="14" t="inlineStr">
        <is>
          <t>Technicolor Campaigns, LLC</t>
        </is>
      </c>
      <c r="F40" s="14" t="inlineStr">
        <is>
          <t>Philadelphia</t>
        </is>
      </c>
      <c r="G40" s="14" t="inlineStr">
        <is>
          <t>PA</t>
        </is>
      </c>
      <c r="H40" s="47" t="n">
        <v>50500</v>
      </c>
      <c r="I40" s="14" t="inlineStr">
        <is>
          <t>Television and media buys</t>
        </is>
      </c>
      <c r="J40" s="14" t="inlineStr">
        <is>
          <t>2026-05-07</t>
        </is>
      </c>
    </row>
    <row r="41">
      <c r="A41" s="14" t="inlineStr">
        <is>
          <t>Stronger Together PA</t>
        </is>
      </c>
      <c r="B41" s="14" t="inlineStr">
        <is>
          <t>Bob Brooks</t>
        </is>
      </c>
      <c r="C41" s="46" t="inlineStr">
        <is>
          <t>Supports</t>
        </is>
      </c>
      <c r="D41" s="14" t="inlineStr">
        <is>
          <t>Ad Buy</t>
        </is>
      </c>
      <c r="E41" s="14" t="inlineStr">
        <is>
          <t>Technicolor Campaigns, LLC</t>
        </is>
      </c>
      <c r="F41" s="14" t="inlineStr">
        <is>
          <t>Philadelphia</t>
        </is>
      </c>
      <c r="G41" s="14" t="inlineStr">
        <is>
          <t>PA</t>
        </is>
      </c>
      <c r="H41" s="47" t="n">
        <v>46000</v>
      </c>
      <c r="I41" s="14" t="inlineStr">
        <is>
          <t>Television and media buys</t>
        </is>
      </c>
      <c r="J41" s="14" t="inlineStr">
        <is>
          <t>2026-04-16</t>
        </is>
      </c>
    </row>
    <row r="42">
      <c r="A42" s="14" t="inlineStr">
        <is>
          <t>Stronger Together PA</t>
        </is>
      </c>
      <c r="B42" s="14" t="inlineStr">
        <is>
          <t>Bob Brooks</t>
        </is>
      </c>
      <c r="C42" s="46" t="inlineStr">
        <is>
          <t>Supports</t>
        </is>
      </c>
      <c r="D42" s="14" t="inlineStr">
        <is>
          <t>Ad Buy</t>
        </is>
      </c>
      <c r="E42" s="14" t="inlineStr">
        <is>
          <t>Technicolor Campaigns, LLC</t>
        </is>
      </c>
      <c r="F42" s="14" t="inlineStr">
        <is>
          <t>Philadelphia</t>
        </is>
      </c>
      <c r="G42" s="14" t="inlineStr">
        <is>
          <t>PA</t>
        </is>
      </c>
      <c r="H42" s="47" t="n">
        <v>45110</v>
      </c>
      <c r="I42" s="14" t="inlineStr">
        <is>
          <t>Television and media buys</t>
        </is>
      </c>
      <c r="J42" s="14" t="inlineStr">
        <is>
          <t>2026-03-30</t>
        </is>
      </c>
    </row>
    <row r="43">
      <c r="A43" s="14" t="inlineStr">
        <is>
          <t>Hmp</t>
        </is>
      </c>
      <c r="B43" s="14" t="inlineStr">
        <is>
          <t>Ryan Mackenzie</t>
        </is>
      </c>
      <c r="C43" s="46" t="inlineStr">
        <is>
          <t>Opposes</t>
        </is>
      </c>
      <c r="D43" s="14" t="inlineStr">
        <is>
          <t>Direct Mail</t>
        </is>
      </c>
      <c r="E43" s="14" t="inlineStr">
        <is>
          <t>Mission Control, Inc.</t>
        </is>
      </c>
      <c r="F43" s="14" t="inlineStr">
        <is>
          <t>Glastonbury</t>
        </is>
      </c>
      <c r="G43" s="14" t="inlineStr">
        <is>
          <t>CT</t>
        </is>
      </c>
      <c r="H43" s="47" t="n">
        <v>41304.46</v>
      </c>
      <c r="I43" s="14" t="inlineStr">
        <is>
          <t>Mail and print</t>
        </is>
      </c>
      <c r="J43" s="14" t="inlineStr">
        <is>
          <t>2026-09-10</t>
        </is>
      </c>
    </row>
    <row r="44">
      <c r="A44" s="14" t="inlineStr">
        <is>
          <t>Hmp</t>
        </is>
      </c>
      <c r="B44" s="14" t="inlineStr">
        <is>
          <t>Ryan Mackenzie</t>
        </is>
      </c>
      <c r="C44" s="46" t="inlineStr">
        <is>
          <t>Opposes</t>
        </is>
      </c>
      <c r="D44" s="14" t="inlineStr">
        <is>
          <t>Media Production</t>
        </is>
      </c>
      <c r="E44" s="14" t="inlineStr">
        <is>
          <t>Conexion Political, LLC</t>
        </is>
      </c>
      <c r="F44" s="14" t="inlineStr">
        <is>
          <t>Washington</t>
        </is>
      </c>
      <c r="G44" s="14" t="inlineStr">
        <is>
          <t>DC</t>
        </is>
      </c>
      <c r="H44" s="47" t="n">
        <v>36457.42</v>
      </c>
      <c r="I44" s="14" t="inlineStr">
        <is>
          <t>Production</t>
        </is>
      </c>
      <c r="J44" s="14" t="inlineStr">
        <is>
          <t>2026-09-30</t>
        </is>
      </c>
    </row>
    <row r="45">
      <c r="A45" s="14" t="inlineStr">
        <is>
          <t>Working Families Party PAC</t>
        </is>
      </c>
      <c r="B45" s="14" t="inlineStr">
        <is>
          <t>Bob Brooks</t>
        </is>
      </c>
      <c r="C45" s="46" t="inlineStr">
        <is>
          <t>Supports</t>
        </is>
      </c>
      <c r="D45" s="14" t="inlineStr">
        <is>
          <t>Direct Mail Fec-1979274</t>
        </is>
      </c>
      <c r="E45" s="14" t="inlineStr">
        <is>
          <t>Person2person Solutions</t>
        </is>
      </c>
      <c r="F45" s="14" t="inlineStr">
        <is>
          <t>Brooklyn</t>
        </is>
      </c>
      <c r="G45" s="14" t="inlineStr">
        <is>
          <t>NY</t>
        </is>
      </c>
      <c r="H45" s="47" t="n">
        <v>32824.6</v>
      </c>
      <c r="I45" s="14" t="inlineStr">
        <is>
          <t>Mail and print</t>
        </is>
      </c>
      <c r="J45" s="14" t="inlineStr">
        <is>
          <t>2026-08-10</t>
        </is>
      </c>
    </row>
    <row r="46">
      <c r="A46" s="14" t="inlineStr">
        <is>
          <t>Hmp</t>
        </is>
      </c>
      <c r="B46" s="14" t="inlineStr">
        <is>
          <t>Ryan Mackenzie</t>
        </is>
      </c>
      <c r="C46" s="46" t="inlineStr">
        <is>
          <t>Opposes</t>
        </is>
      </c>
      <c r="D46" s="14" t="inlineStr">
        <is>
          <t>Direct Mail</t>
        </is>
      </c>
      <c r="E46" s="14" t="inlineStr">
        <is>
          <t>Mission Control, Inc.</t>
        </is>
      </c>
      <c r="F46" s="14" t="inlineStr">
        <is>
          <t>Glastonbury</t>
        </is>
      </c>
      <c r="G46" s="14" t="inlineStr">
        <is>
          <t>CT</t>
        </is>
      </c>
      <c r="H46" s="47" t="n">
        <v>32626.32</v>
      </c>
      <c r="I46" s="14" t="inlineStr">
        <is>
          <t>Mail and print</t>
        </is>
      </c>
      <c r="J46" s="14" t="inlineStr">
        <is>
          <t>2026-09-24</t>
        </is>
      </c>
    </row>
    <row r="47">
      <c r="A47" s="14" t="inlineStr">
        <is>
          <t>Hmp</t>
        </is>
      </c>
      <c r="B47" s="14" t="inlineStr">
        <is>
          <t>Ryan Mackenzie</t>
        </is>
      </c>
      <c r="C47" s="46" t="inlineStr">
        <is>
          <t>Opposes</t>
        </is>
      </c>
      <c r="D47" s="14" t="inlineStr">
        <is>
          <t>Direct Mail</t>
        </is>
      </c>
      <c r="E47" s="14" t="inlineStr">
        <is>
          <t>Mission Control, Inc.</t>
        </is>
      </c>
      <c r="F47" s="14" t="inlineStr">
        <is>
          <t>Glastonbury</t>
        </is>
      </c>
      <c r="G47" s="14" t="inlineStr">
        <is>
          <t>CT</t>
        </is>
      </c>
      <c r="H47" s="47" t="n">
        <v>32575.32</v>
      </c>
      <c r="I47" s="14" t="inlineStr">
        <is>
          <t>Mail and print</t>
        </is>
      </c>
      <c r="J47" s="14" t="inlineStr">
        <is>
          <t>2026-09-17</t>
        </is>
      </c>
    </row>
    <row r="48">
      <c r="A48" s="14" t="inlineStr">
        <is>
          <t>Stronger Together PA</t>
        </is>
      </c>
      <c r="B48" s="14" t="inlineStr">
        <is>
          <t>Bob Brooks</t>
        </is>
      </c>
      <c r="C48" s="46" t="inlineStr">
        <is>
          <t>Supports</t>
        </is>
      </c>
      <c r="D48" s="14" t="inlineStr">
        <is>
          <t>Ad Buy</t>
        </is>
      </c>
      <c r="E48" s="14" t="inlineStr">
        <is>
          <t>Technicolor Campaigns, LLC</t>
        </is>
      </c>
      <c r="F48" s="14" t="inlineStr">
        <is>
          <t>Philadelphia</t>
        </is>
      </c>
      <c r="G48" s="14" t="inlineStr">
        <is>
          <t>PA</t>
        </is>
      </c>
      <c r="H48" s="47" t="n">
        <v>28000</v>
      </c>
      <c r="I48" s="14" t="inlineStr">
        <is>
          <t>Television and media buys</t>
        </is>
      </c>
      <c r="J48" s="14" t="inlineStr">
        <is>
          <t>2026-04-09</t>
        </is>
      </c>
    </row>
    <row r="49">
      <c r="A49" s="14" t="inlineStr">
        <is>
          <t>Stronger Together PA</t>
        </is>
      </c>
      <c r="B49" s="14" t="inlineStr">
        <is>
          <t>Bob Brooks</t>
        </is>
      </c>
      <c r="C49" s="46" t="inlineStr">
        <is>
          <t>Supports</t>
        </is>
      </c>
      <c r="D49" s="14" t="inlineStr">
        <is>
          <t>Ad Buy</t>
        </is>
      </c>
      <c r="E49" s="14" t="inlineStr">
        <is>
          <t>Technicolor Campaigns, LLC</t>
        </is>
      </c>
      <c r="F49" s="14" t="inlineStr">
        <is>
          <t>Philadelphia</t>
        </is>
      </c>
      <c r="G49" s="14" t="inlineStr">
        <is>
          <t>PA</t>
        </is>
      </c>
      <c r="H49" s="47" t="n">
        <v>28000</v>
      </c>
      <c r="I49" s="14" t="inlineStr">
        <is>
          <t>Television and media buys</t>
        </is>
      </c>
      <c r="J49" s="14" t="inlineStr">
        <is>
          <t>2026-04-02</t>
        </is>
      </c>
    </row>
    <row r="50">
      <c r="A50" s="14" t="inlineStr">
        <is>
          <t>In Union USA</t>
        </is>
      </c>
      <c r="B50" s="14" t="inlineStr">
        <is>
          <t>Ryan Mackenzie</t>
        </is>
      </c>
      <c r="C50" s="46" t="inlineStr">
        <is>
          <t>Opposes</t>
        </is>
      </c>
      <c r="D50" s="14" t="inlineStr">
        <is>
          <t>Direct Mail Program</t>
        </is>
      </c>
      <c r="E50" s="14" t="inlineStr">
        <is>
          <t>Deliver Strategies, LLC</t>
        </is>
      </c>
      <c r="F50" s="14" t="inlineStr">
        <is>
          <t>Arlington</t>
        </is>
      </c>
      <c r="G50" s="14" t="inlineStr">
        <is>
          <t>VA</t>
        </is>
      </c>
      <c r="H50" s="47" t="n">
        <v>26382.22</v>
      </c>
      <c r="I50" s="14" t="inlineStr">
        <is>
          <t>Mail and print</t>
        </is>
      </c>
      <c r="J50" s="14" t="inlineStr">
        <is>
          <t>2026-09-25</t>
        </is>
      </c>
    </row>
    <row r="51">
      <c r="A51" s="14" t="inlineStr">
        <is>
          <t>Stronger Together PA</t>
        </is>
      </c>
      <c r="B51" s="14" t="inlineStr">
        <is>
          <t>Bob Brooks</t>
        </is>
      </c>
      <c r="C51" s="46" t="inlineStr">
        <is>
          <t>Supports</t>
        </is>
      </c>
      <c r="D51" s="14" t="inlineStr">
        <is>
          <t>Ad Buy</t>
        </is>
      </c>
      <c r="E51" s="14" t="inlineStr">
        <is>
          <t>Technicolor Campaigns, LLC</t>
        </is>
      </c>
      <c r="F51" s="14" t="inlineStr">
        <is>
          <t>Philadelphia</t>
        </is>
      </c>
      <c r="G51" s="14" t="inlineStr">
        <is>
          <t>PA</t>
        </is>
      </c>
      <c r="H51" s="47" t="n">
        <v>25500</v>
      </c>
      <c r="I51" s="14" t="inlineStr">
        <is>
          <t>Television and media buys</t>
        </is>
      </c>
      <c r="J51" s="14" t="inlineStr">
        <is>
          <t>2026-05-07</t>
        </is>
      </c>
    </row>
    <row r="52">
      <c r="A52" s="14" t="inlineStr">
        <is>
          <t>DLP PAC</t>
        </is>
      </c>
      <c r="B52" s="14" t="inlineStr">
        <is>
          <t>Bob Brooks</t>
        </is>
      </c>
      <c r="C52" s="46" t="inlineStr">
        <is>
          <t>Supports</t>
        </is>
      </c>
      <c r="D52" s="14" t="inlineStr">
        <is>
          <t>Printing and Postage</t>
        </is>
      </c>
      <c r="E52" s="14" t="inlineStr">
        <is>
          <t>Agmv Campaigns LLC</t>
        </is>
      </c>
      <c r="F52" s="14" t="inlineStr">
        <is>
          <t>Dover</t>
        </is>
      </c>
      <c r="G52" s="14" t="inlineStr">
        <is>
          <t>DE</t>
        </is>
      </c>
      <c r="H52" s="47" t="n">
        <v>25226.25</v>
      </c>
      <c r="I52" s="14" t="inlineStr">
        <is>
          <t>Mail and print</t>
        </is>
      </c>
      <c r="J52" s="14" t="inlineStr">
        <is>
          <t>2026-04-01</t>
        </is>
      </c>
    </row>
    <row r="53">
      <c r="A53" s="14" t="inlineStr">
        <is>
          <t>Stronger Together PA</t>
        </is>
      </c>
      <c r="B53" s="14" t="inlineStr">
        <is>
          <t>Bob Brooks</t>
        </is>
      </c>
      <c r="C53" s="46" t="inlineStr">
        <is>
          <t>Supports</t>
        </is>
      </c>
      <c r="D53" s="14" t="inlineStr">
        <is>
          <t>Texting</t>
        </is>
      </c>
      <c r="E53" s="14" t="inlineStr">
        <is>
          <t>Technicolor Campaigns, LLC</t>
        </is>
      </c>
      <c r="F53" s="14" t="inlineStr">
        <is>
          <t>Philadelphia</t>
        </is>
      </c>
      <c r="G53" s="14" t="inlineStr">
        <is>
          <t>PA</t>
        </is>
      </c>
      <c r="H53" s="47" t="n">
        <v>25000</v>
      </c>
      <c r="I53" s="14" t="inlineStr">
        <is>
          <t>Texting and phone calls</t>
        </is>
      </c>
      <c r="J53" s="14" t="inlineStr">
        <is>
          <t>2026-05-15</t>
        </is>
      </c>
    </row>
    <row r="54">
      <c r="A54" s="14" t="inlineStr">
        <is>
          <t>Stronger Together PA</t>
        </is>
      </c>
      <c r="B54" s="14" t="inlineStr">
        <is>
          <t>Bob Brooks</t>
        </is>
      </c>
      <c r="C54" s="46" t="inlineStr">
        <is>
          <t>Supports</t>
        </is>
      </c>
      <c r="D54" s="14" t="inlineStr">
        <is>
          <t>Ad Production</t>
        </is>
      </c>
      <c r="E54" s="14" t="inlineStr">
        <is>
          <t>Technicolor Campaigns, LLC</t>
        </is>
      </c>
      <c r="F54" s="14" t="inlineStr">
        <is>
          <t>Philadelphia</t>
        </is>
      </c>
      <c r="G54" s="14" t="inlineStr">
        <is>
          <t>PA</t>
        </is>
      </c>
      <c r="H54" s="47" t="n">
        <v>25000</v>
      </c>
      <c r="I54" s="14" t="inlineStr">
        <is>
          <t>Production</t>
        </is>
      </c>
      <c r="J54" s="14" t="inlineStr">
        <is>
          <t>2026-04-16</t>
        </is>
      </c>
    </row>
    <row r="55">
      <c r="A55" s="14" t="inlineStr">
        <is>
          <t>DLP PAC</t>
        </is>
      </c>
      <c r="B55" s="14" t="inlineStr">
        <is>
          <t>Bob Brooks</t>
        </is>
      </c>
      <c r="C55" s="46" t="inlineStr">
        <is>
          <t>Supports</t>
        </is>
      </c>
      <c r="D55" s="14" t="inlineStr">
        <is>
          <t>Printing and Postage</t>
        </is>
      </c>
      <c r="E55" s="14" t="inlineStr">
        <is>
          <t>Agmv Campaigns LLC</t>
        </is>
      </c>
      <c r="F55" s="14" t="inlineStr">
        <is>
          <t>Dover</t>
        </is>
      </c>
      <c r="G55" s="14" t="inlineStr">
        <is>
          <t>DE</t>
        </is>
      </c>
      <c r="H55" s="47" t="n">
        <v>23584.25</v>
      </c>
      <c r="I55" s="14" t="inlineStr">
        <is>
          <t>Mail and print</t>
        </is>
      </c>
      <c r="J55" s="14" t="inlineStr">
        <is>
          <t>2026-04-01</t>
        </is>
      </c>
    </row>
    <row r="56">
      <c r="A56" s="14" t="inlineStr">
        <is>
          <t>Progressive Turnout Project</t>
        </is>
      </c>
      <c r="B56" s="14" t="inlineStr">
        <is>
          <t>Bob Brooks</t>
        </is>
      </c>
      <c r="C56" s="46" t="inlineStr">
        <is>
          <t>Supports</t>
        </is>
      </c>
      <c r="D56" s="14" t="inlineStr">
        <is>
          <t>Field Organizing</t>
        </is>
      </c>
      <c r="E56" s="14" t="inlineStr">
        <is>
          <t>Merrimack Services LLC</t>
        </is>
      </c>
      <c r="F56" s="14" t="inlineStr">
        <is>
          <t>Newburyport</t>
        </is>
      </c>
      <c r="G56" s="14" t="inlineStr">
        <is>
          <t>MA</t>
        </is>
      </c>
      <c r="H56" s="47" t="n">
        <v>23285.26</v>
      </c>
      <c r="I56" s="14" t="inlineStr">
        <is>
          <t>Canvassing and field</t>
        </is>
      </c>
      <c r="J56" s="14" t="inlineStr">
        <is>
          <t>2026-09-27</t>
        </is>
      </c>
    </row>
    <row r="57">
      <c r="A57" s="14" t="inlineStr">
        <is>
          <t>Stronger Together PA</t>
        </is>
      </c>
      <c r="B57" s="14" t="inlineStr">
        <is>
          <t>Bob Brooks</t>
        </is>
      </c>
      <c r="C57" s="46" t="inlineStr">
        <is>
          <t>Supports</t>
        </is>
      </c>
      <c r="D57" s="14" t="inlineStr">
        <is>
          <t>Texting</t>
        </is>
      </c>
      <c r="E57" s="14" t="inlineStr">
        <is>
          <t>Technicolor Campaigns, LLC</t>
        </is>
      </c>
      <c r="F57" s="14" t="inlineStr">
        <is>
          <t>Philadelphia</t>
        </is>
      </c>
      <c r="G57" s="14" t="inlineStr">
        <is>
          <t>PA</t>
        </is>
      </c>
      <c r="H57" s="47" t="n">
        <v>21000</v>
      </c>
      <c r="I57" s="14" t="inlineStr">
        <is>
          <t>Texting and phone calls</t>
        </is>
      </c>
      <c r="J57" s="14" t="inlineStr">
        <is>
          <t>2026-05-13</t>
        </is>
      </c>
    </row>
    <row r="58">
      <c r="A58" s="14" t="inlineStr">
        <is>
          <t>DLP PAC</t>
        </is>
      </c>
      <c r="B58" s="14" t="inlineStr">
        <is>
          <t>Bob Brooks</t>
        </is>
      </c>
      <c r="C58" s="46" t="inlineStr">
        <is>
          <t>Supports</t>
        </is>
      </c>
      <c r="D58" s="14" t="inlineStr">
        <is>
          <t>Printing and Postage</t>
        </is>
      </c>
      <c r="E58" s="14" t="inlineStr">
        <is>
          <t>Agmv Campaigns LLC</t>
        </is>
      </c>
      <c r="F58" s="14" t="inlineStr">
        <is>
          <t>Dover</t>
        </is>
      </c>
      <c r="G58" s="14" t="inlineStr">
        <is>
          <t>DE</t>
        </is>
      </c>
      <c r="H58" s="47" t="n">
        <v>19755.5</v>
      </c>
      <c r="I58" s="14" t="inlineStr">
        <is>
          <t>Mail and print</t>
        </is>
      </c>
      <c r="J58" s="14" t="inlineStr">
        <is>
          <t>2026-04-30</t>
        </is>
      </c>
    </row>
    <row r="59">
      <c r="A59" s="14" t="inlineStr">
        <is>
          <t>DLP PAC</t>
        </is>
      </c>
      <c r="B59" s="14" t="inlineStr">
        <is>
          <t>Bob Brooks</t>
        </is>
      </c>
      <c r="C59" s="46" t="inlineStr">
        <is>
          <t>Supports</t>
        </is>
      </c>
      <c r="D59" s="14" t="inlineStr">
        <is>
          <t>Printing and Postage</t>
        </is>
      </c>
      <c r="E59" s="14" t="inlineStr">
        <is>
          <t>Agmv Campaigns LLC</t>
        </is>
      </c>
      <c r="F59" s="14" t="inlineStr">
        <is>
          <t>Dover</t>
        </is>
      </c>
      <c r="G59" s="14" t="inlineStr">
        <is>
          <t>DE</t>
        </is>
      </c>
      <c r="H59" s="47" t="n">
        <v>19755.5</v>
      </c>
      <c r="I59" s="14" t="inlineStr">
        <is>
          <t>Mail and print</t>
        </is>
      </c>
      <c r="J59" s="14" t="inlineStr">
        <is>
          <t>2026-04-22</t>
        </is>
      </c>
    </row>
    <row r="60">
      <c r="A60" s="14" t="inlineStr">
        <is>
          <t>Rural Freedom Network</t>
        </is>
      </c>
      <c r="B60" s="14" t="inlineStr">
        <is>
          <t>Bob Brooks</t>
        </is>
      </c>
      <c r="C60" s="46" t="inlineStr">
        <is>
          <t>Supports</t>
        </is>
      </c>
      <c r="D60" s="14" t="inlineStr">
        <is>
          <t>Billboards</t>
        </is>
      </c>
      <c r="E60" s="14" t="inlineStr">
        <is>
          <t>Adams Outdoor Advertising</t>
        </is>
      </c>
      <c r="F60" s="14" t="inlineStr">
        <is>
          <t>Chicago</t>
        </is>
      </c>
      <c r="G60" s="14" t="inlineStr">
        <is>
          <t>IL</t>
        </is>
      </c>
      <c r="H60" s="47" t="n">
        <v>15038</v>
      </c>
      <c r="I60" s="14" t="inlineStr">
        <is>
          <t>Other</t>
        </is>
      </c>
      <c r="J60" s="14" t="inlineStr">
        <is>
          <t>2026-08-10</t>
        </is>
      </c>
    </row>
    <row r="61">
      <c r="A61" s="14" t="inlineStr">
        <is>
          <t>Rural Freedom Network</t>
        </is>
      </c>
      <c r="B61" s="14" t="inlineStr">
        <is>
          <t>Bob Brooks</t>
        </is>
      </c>
      <c r="C61" s="46" t="inlineStr">
        <is>
          <t>Supports</t>
        </is>
      </c>
      <c r="D61" s="14" t="inlineStr">
        <is>
          <t>Radio Advertising</t>
        </is>
      </c>
      <c r="E61" s="14" t="inlineStr">
        <is>
          <t>Grand Strand Answers</t>
        </is>
      </c>
      <c r="F61" s="14" t="inlineStr">
        <is>
          <t>Myrtle Beach</t>
        </is>
      </c>
      <c r="G61" s="14" t="inlineStr">
        <is>
          <t>SC</t>
        </is>
      </c>
      <c r="H61" s="47" t="n">
        <v>13664</v>
      </c>
      <c r="I61" s="14" t="inlineStr">
        <is>
          <t>Radio</t>
        </is>
      </c>
      <c r="J61" s="14" t="inlineStr">
        <is>
          <t>2026-09-14</t>
        </is>
      </c>
    </row>
    <row r="62">
      <c r="A62" s="14" t="inlineStr">
        <is>
          <t>Hmp</t>
        </is>
      </c>
      <c r="B62" s="14" t="inlineStr">
        <is>
          <t>Ryan Mackenzie</t>
        </is>
      </c>
      <c r="C62" s="46" t="inlineStr">
        <is>
          <t>Opposes</t>
        </is>
      </c>
      <c r="D62" s="14" t="inlineStr">
        <is>
          <t>Media Production</t>
        </is>
      </c>
      <c r="E62" s="14" t="inlineStr">
        <is>
          <t>4c Partners, LLC</t>
        </is>
      </c>
      <c r="F62" s="14" t="inlineStr">
        <is>
          <t>Washington</t>
        </is>
      </c>
      <c r="G62" s="14" t="inlineStr">
        <is>
          <t>DC</t>
        </is>
      </c>
      <c r="H62" s="47" t="n">
        <v>13498.5</v>
      </c>
      <c r="I62" s="14" t="inlineStr">
        <is>
          <t>Production</t>
        </is>
      </c>
      <c r="J62" s="14" t="inlineStr">
        <is>
          <t>2026-09-23</t>
        </is>
      </c>
    </row>
    <row r="63">
      <c r="A63" s="14" t="inlineStr">
        <is>
          <t>Congressional Progressive Caucus PAC</t>
        </is>
      </c>
      <c r="B63" s="14" t="inlineStr">
        <is>
          <t>Bob Brooks</t>
        </is>
      </c>
      <c r="C63" s="46" t="inlineStr">
        <is>
          <t>Supports</t>
        </is>
      </c>
      <c r="D63" s="14" t="inlineStr">
        <is>
          <t>Digital Ad Production - Actual Amount of Estimate Previously Reported 04/29/2026</t>
        </is>
      </c>
      <c r="E63" s="14" t="inlineStr">
        <is>
          <t>Silversmith Strategies LLC</t>
        </is>
      </c>
      <c r="F63" s="14" t="inlineStr">
        <is>
          <t>Chicago</t>
        </is>
      </c>
      <c r="G63" s="14" t="inlineStr">
        <is>
          <t>IL</t>
        </is>
      </c>
      <c r="H63" s="47" t="n">
        <v>12300</v>
      </c>
      <c r="I63" s="14" t="inlineStr">
        <is>
          <t>Digital advertising</t>
        </is>
      </c>
      <c r="J63" s="14" t="inlineStr">
        <is>
          <t>2026-04-30</t>
        </is>
      </c>
    </row>
    <row r="64">
      <c r="A64" s="14" t="inlineStr">
        <is>
          <t>Make the Road Action Political Committee</t>
        </is>
      </c>
      <c r="B64" s="14" t="inlineStr">
        <is>
          <t>Bob Brooks</t>
        </is>
      </c>
      <c r="C64" s="46" t="inlineStr">
        <is>
          <t>Supports</t>
        </is>
      </c>
      <c r="D64" s="14" t="inlineStr">
        <is>
          <t>Canvassing Services (corresponding Memo on 24/48 Can Not Be Deleted in Fecfile)</t>
        </is>
      </c>
      <c r="E64" s="14" t="inlineStr">
        <is>
          <t>Make the Road Action Inc.</t>
        </is>
      </c>
      <c r="F64" s="14" t="inlineStr">
        <is>
          <t>Brooklyn</t>
        </is>
      </c>
      <c r="G64" s="14" t="inlineStr">
        <is>
          <t>NY</t>
        </is>
      </c>
      <c r="H64" s="47" t="n">
        <v>12062</v>
      </c>
      <c r="I64" s="14" t="inlineStr">
        <is>
          <t>Canvassing and field</t>
        </is>
      </c>
      <c r="J64" s="14" t="inlineStr">
        <is>
          <t>2026-06-01</t>
        </is>
      </c>
    </row>
    <row r="65">
      <c r="A65" s="14" t="inlineStr">
        <is>
          <t>Hmp</t>
        </is>
      </c>
      <c r="B65" s="14" t="inlineStr">
        <is>
          <t>Bob Brooks</t>
        </is>
      </c>
      <c r="C65" s="46" t="inlineStr">
        <is>
          <t>Supports</t>
        </is>
      </c>
      <c r="D65" s="14" t="inlineStr">
        <is>
          <t>Media Production</t>
        </is>
      </c>
      <c r="E65" s="14" t="inlineStr">
        <is>
          <t>Conexion Political, LLC</t>
        </is>
      </c>
      <c r="F65" s="14" t="inlineStr">
        <is>
          <t>Washington</t>
        </is>
      </c>
      <c r="G65" s="14" t="inlineStr">
        <is>
          <t>DC</t>
        </is>
      </c>
      <c r="H65" s="47" t="n">
        <v>11831.38</v>
      </c>
      <c r="I65" s="14" t="inlineStr">
        <is>
          <t>Production</t>
        </is>
      </c>
      <c r="J65" s="14" t="inlineStr">
        <is>
          <t>2026-09-30</t>
        </is>
      </c>
    </row>
    <row r="66">
      <c r="A66" s="14" t="inlineStr">
        <is>
          <t>Blue Majority Project</t>
        </is>
      </c>
      <c r="B66" s="14" t="inlineStr">
        <is>
          <t>Bob Brooks</t>
        </is>
      </c>
      <c r="C66" s="46" t="inlineStr">
        <is>
          <t>Supports</t>
        </is>
      </c>
      <c r="D66" s="14" t="inlineStr">
        <is>
          <t>Non-contribution Accout: Text Messages</t>
        </is>
      </c>
      <c r="E66" s="14" t="inlineStr">
        <is>
          <t>Activate Change LLC</t>
        </is>
      </c>
      <c r="F66" s="14" t="inlineStr">
        <is>
          <t>Dover</t>
        </is>
      </c>
      <c r="G66" s="14" t="inlineStr">
        <is>
          <t>DE</t>
        </is>
      </c>
      <c r="H66" s="47" t="n">
        <v>11510</v>
      </c>
      <c r="I66" s="14" t="inlineStr">
        <is>
          <t>Texting and phone calls</t>
        </is>
      </c>
      <c r="J66" s="14" t="inlineStr">
        <is>
          <t>2025-12-21</t>
        </is>
      </c>
    </row>
    <row r="67">
      <c r="A67" s="14" t="inlineStr">
        <is>
          <t>Seniors Empowering an Effective Democracy (SEED-PAC)</t>
        </is>
      </c>
      <c r="B67" s="14" t="inlineStr">
        <is>
          <t>Bob Brooks</t>
        </is>
      </c>
      <c r="C67" s="46" t="inlineStr">
        <is>
          <t>Supports</t>
        </is>
      </c>
      <c r="D67" s="14" t="inlineStr">
        <is>
          <t>Newspaper Ad</t>
        </is>
      </c>
      <c r="E67" s="14" t="inlineStr">
        <is>
          <t>Allentown Morning Call</t>
        </is>
      </c>
      <c r="F67" s="14" t="inlineStr">
        <is>
          <t>Allentown</t>
        </is>
      </c>
      <c r="G67" s="14" t="inlineStr">
        <is>
          <t>PA</t>
        </is>
      </c>
      <c r="H67" s="47" t="n">
        <v>11000</v>
      </c>
      <c r="I67" s="14" t="inlineStr">
        <is>
          <t>Other</t>
        </is>
      </c>
      <c r="J67" s="14" t="inlineStr">
        <is>
          <t>2026-08-19</t>
        </is>
      </c>
    </row>
    <row r="68">
      <c r="A68" s="14" t="inlineStr">
        <is>
          <t>Seniors Empowering an Effective Democracy (SEED-PAC)</t>
        </is>
      </c>
      <c r="B68" s="14" t="inlineStr">
        <is>
          <t>Bob Brooks</t>
        </is>
      </c>
      <c r="C68" s="46" t="inlineStr">
        <is>
          <t>Supports</t>
        </is>
      </c>
      <c r="D68" s="14" t="inlineStr">
        <is>
          <t>Postcard Ad</t>
        </is>
      </c>
      <c r="E68" s="14" t="inlineStr">
        <is>
          <t>Allegra</t>
        </is>
      </c>
      <c r="F68" s="14" t="inlineStr">
        <is>
          <t>Philadelphia</t>
        </is>
      </c>
      <c r="G68" s="14" t="inlineStr">
        <is>
          <t>PA</t>
        </is>
      </c>
      <c r="H68" s="47" t="n">
        <v>10092.37</v>
      </c>
      <c r="I68" s="14" t="inlineStr">
        <is>
          <t>Other</t>
        </is>
      </c>
      <c r="J68" s="14" t="inlineStr">
        <is>
          <t>2026-09-28</t>
        </is>
      </c>
    </row>
    <row r="69">
      <c r="A69" s="14" t="inlineStr">
        <is>
          <t>Stronger Together PA</t>
        </is>
      </c>
      <c r="B69" s="14" t="inlineStr">
        <is>
          <t>Bob Brooks</t>
        </is>
      </c>
      <c r="C69" s="46" t="inlineStr">
        <is>
          <t>Supports</t>
        </is>
      </c>
      <c r="D69" s="14" t="inlineStr">
        <is>
          <t>Ad Buy</t>
        </is>
      </c>
      <c r="E69" s="14" t="inlineStr">
        <is>
          <t>Technicolor Campaigns, LLC</t>
        </is>
      </c>
      <c r="F69" s="14" t="inlineStr">
        <is>
          <t>Philadelphia</t>
        </is>
      </c>
      <c r="G69" s="14" t="inlineStr">
        <is>
          <t>PA</t>
        </is>
      </c>
      <c r="H69" s="47" t="n">
        <v>10000</v>
      </c>
      <c r="I69" s="14" t="inlineStr">
        <is>
          <t>Television and media buys</t>
        </is>
      </c>
      <c r="J69" s="14" t="inlineStr">
        <is>
          <t>2026-05-08</t>
        </is>
      </c>
    </row>
    <row r="70">
      <c r="A70" s="14" t="inlineStr">
        <is>
          <t>Lead Left PAC</t>
        </is>
      </c>
      <c r="B70" s="14" t="inlineStr">
        <is>
          <t>Bob Brooks</t>
        </is>
      </c>
      <c r="C70" s="46" t="inlineStr">
        <is>
          <t>Opposes</t>
        </is>
      </c>
      <c r="D70" s="14" t="inlineStr">
        <is>
          <t>Printing / Postage</t>
        </is>
      </c>
      <c r="E70" s="14" t="inlineStr">
        <is>
          <t>Piruzi LLC</t>
        </is>
      </c>
      <c r="F70" s="14" t="inlineStr">
        <is>
          <t>Pensacola</t>
        </is>
      </c>
      <c r="G70" s="14" t="inlineStr">
        <is>
          <t>FL</t>
        </is>
      </c>
      <c r="H70" s="47" t="n">
        <v>9161.42</v>
      </c>
      <c r="I70" s="14" t="inlineStr">
        <is>
          <t>Mail and print</t>
        </is>
      </c>
      <c r="J70" s="14" t="inlineStr">
        <is>
          <t>2026-05-18</t>
        </is>
      </c>
    </row>
    <row r="71">
      <c r="A71" s="14" t="inlineStr">
        <is>
          <t>Lead Left PAC</t>
        </is>
      </c>
      <c r="B71" s="14" t="inlineStr">
        <is>
          <t>Bob Brooks</t>
        </is>
      </c>
      <c r="C71" s="46" t="inlineStr">
        <is>
          <t>Opposes</t>
        </is>
      </c>
      <c r="D71" s="14" t="inlineStr">
        <is>
          <t>Printing / Postage</t>
        </is>
      </c>
      <c r="E71" s="14" t="inlineStr">
        <is>
          <t>Piruzi LLC</t>
        </is>
      </c>
      <c r="F71" s="14" t="inlineStr">
        <is>
          <t>Pensacola</t>
        </is>
      </c>
      <c r="G71" s="14" t="inlineStr">
        <is>
          <t>FL</t>
        </is>
      </c>
      <c r="H71" s="47" t="n">
        <v>9154.690000000001</v>
      </c>
      <c r="I71" s="14" t="inlineStr">
        <is>
          <t>Mail and print</t>
        </is>
      </c>
      <c r="J71" s="14" t="inlineStr">
        <is>
          <t>2026-05-07</t>
        </is>
      </c>
    </row>
    <row r="72">
      <c r="A72" s="14" t="inlineStr">
        <is>
          <t>Lead Left PAC</t>
        </is>
      </c>
      <c r="B72" s="14" t="inlineStr">
        <is>
          <t>Bob Brooks</t>
        </is>
      </c>
      <c r="C72" s="46" t="inlineStr">
        <is>
          <t>Opposes</t>
        </is>
      </c>
      <c r="D72" s="14" t="inlineStr">
        <is>
          <t>Printing / Postage</t>
        </is>
      </c>
      <c r="E72" s="14" t="inlineStr">
        <is>
          <t>Piruzi LLC</t>
        </is>
      </c>
      <c r="F72" s="14" t="inlineStr">
        <is>
          <t>Pensacola</t>
        </is>
      </c>
      <c r="G72" s="14" t="inlineStr">
        <is>
          <t>FL</t>
        </is>
      </c>
      <c r="H72" s="47" t="n">
        <v>9153.559999999999</v>
      </c>
      <c r="I72" s="14" t="inlineStr">
        <is>
          <t>Mail and print</t>
        </is>
      </c>
      <c r="J72" s="14" t="inlineStr">
        <is>
          <t>2026-05-07</t>
        </is>
      </c>
    </row>
    <row r="73">
      <c r="A73" s="14" t="inlineStr">
        <is>
          <t>Lead Left PAC</t>
        </is>
      </c>
      <c r="B73" s="14" t="inlineStr">
        <is>
          <t>Bob Brooks</t>
        </is>
      </c>
      <c r="C73" s="46" t="inlineStr">
        <is>
          <t>Opposes</t>
        </is>
      </c>
      <c r="D73" s="14" t="inlineStr">
        <is>
          <t>Printing / Postage</t>
        </is>
      </c>
      <c r="E73" s="14" t="inlineStr">
        <is>
          <t>Piruzi LLC</t>
        </is>
      </c>
      <c r="F73" s="14" t="inlineStr">
        <is>
          <t>Pensacola</t>
        </is>
      </c>
      <c r="G73" s="14" t="inlineStr">
        <is>
          <t>FL</t>
        </is>
      </c>
      <c r="H73" s="47" t="n">
        <v>9145.43</v>
      </c>
      <c r="I73" s="14" t="inlineStr">
        <is>
          <t>Mail and print</t>
        </is>
      </c>
      <c r="J73" s="14" t="inlineStr">
        <is>
          <t>2026-05-13</t>
        </is>
      </c>
    </row>
    <row r="74">
      <c r="A74" s="14" t="inlineStr">
        <is>
          <t>Blue Battleground Project</t>
        </is>
      </c>
      <c r="B74" s="14" t="inlineStr">
        <is>
          <t>Bob Brooks</t>
        </is>
      </c>
      <c r="C74" s="46" t="inlineStr">
        <is>
          <t>Supports</t>
        </is>
      </c>
      <c r="D74" s="14" t="inlineStr">
        <is>
          <t>Text Messages</t>
        </is>
      </c>
      <c r="E74" s="14" t="inlineStr">
        <is>
          <t>Activate Change LLC</t>
        </is>
      </c>
      <c r="F74" s="14" t="inlineStr">
        <is>
          <t>Dover</t>
        </is>
      </c>
      <c r="G74" s="14" t="inlineStr">
        <is>
          <t>DE</t>
        </is>
      </c>
      <c r="H74" s="47" t="n">
        <v>9116.67</v>
      </c>
      <c r="I74" s="14" t="inlineStr">
        <is>
          <t>Texting and phone calls</t>
        </is>
      </c>
      <c r="J74" s="14" t="inlineStr">
        <is>
          <t>2026-02-24</t>
        </is>
      </c>
    </row>
    <row r="75">
      <c r="A75" s="14" t="inlineStr">
        <is>
          <t>Hmp</t>
        </is>
      </c>
      <c r="B75" s="14" t="inlineStr">
        <is>
          <t>Ryan Mackenzie</t>
        </is>
      </c>
      <c r="C75" s="46" t="inlineStr">
        <is>
          <t>Opposes</t>
        </is>
      </c>
      <c r="D75" s="14" t="inlineStr">
        <is>
          <t>Media Production</t>
        </is>
      </c>
      <c r="E75" s="14" t="inlineStr">
        <is>
          <t>Gambit Strategies LLC</t>
        </is>
      </c>
      <c r="F75" s="14" t="inlineStr">
        <is>
          <t>Washington</t>
        </is>
      </c>
      <c r="G75" s="14" t="inlineStr">
        <is>
          <t>DC</t>
        </is>
      </c>
      <c r="H75" s="47" t="n">
        <v>8834</v>
      </c>
      <c r="I75" s="14" t="inlineStr">
        <is>
          <t>Production</t>
        </is>
      </c>
      <c r="J75" s="14" t="inlineStr">
        <is>
          <t>2026-09-23</t>
        </is>
      </c>
    </row>
    <row r="76">
      <c r="A76" s="14" t="inlineStr">
        <is>
          <t>Hmp</t>
        </is>
      </c>
      <c r="B76" s="14" t="inlineStr">
        <is>
          <t>Bob Brooks</t>
        </is>
      </c>
      <c r="C76" s="46" t="inlineStr">
        <is>
          <t>Supports</t>
        </is>
      </c>
      <c r="D76" s="14" t="inlineStr">
        <is>
          <t>Digital Advertising</t>
        </is>
      </c>
      <c r="E76" s="14" t="inlineStr">
        <is>
          <t>Gambit Strategies LLC</t>
        </is>
      </c>
      <c r="F76" s="14" t="inlineStr">
        <is>
          <t>Washington</t>
        </is>
      </c>
      <c r="G76" s="14" t="inlineStr">
        <is>
          <t>DC</t>
        </is>
      </c>
      <c r="H76" s="47" t="n">
        <v>6725</v>
      </c>
      <c r="I76" s="14" t="inlineStr">
        <is>
          <t>Digital advertising</t>
        </is>
      </c>
      <c r="J76" s="14" t="inlineStr">
        <is>
          <t>2026-09-29</t>
        </is>
      </c>
    </row>
    <row r="77">
      <c r="A77" s="14" t="inlineStr">
        <is>
          <t>Hmp</t>
        </is>
      </c>
      <c r="B77" s="14" t="inlineStr">
        <is>
          <t>Bob Brooks</t>
        </is>
      </c>
      <c r="C77" s="46" t="inlineStr">
        <is>
          <t>Supports</t>
        </is>
      </c>
      <c r="D77" s="14" t="inlineStr">
        <is>
          <t>Digital Advertising</t>
        </is>
      </c>
      <c r="E77" s="14" t="inlineStr">
        <is>
          <t>Gambit Strategies LLC</t>
        </is>
      </c>
      <c r="F77" s="14" t="inlineStr">
        <is>
          <t>Washington</t>
        </is>
      </c>
      <c r="G77" s="14" t="inlineStr">
        <is>
          <t>DC</t>
        </is>
      </c>
      <c r="H77" s="47" t="n">
        <v>6725</v>
      </c>
      <c r="I77" s="14" t="inlineStr">
        <is>
          <t>Digital advertising</t>
        </is>
      </c>
      <c r="J77" s="14" t="inlineStr">
        <is>
          <t>2026-09-23</t>
        </is>
      </c>
    </row>
    <row r="78">
      <c r="A78" s="14" t="inlineStr">
        <is>
          <t>Make the Road Action Political Committee</t>
        </is>
      </c>
      <c r="B78" s="14" t="inlineStr">
        <is>
          <t>Bob Brooks</t>
        </is>
      </c>
      <c r="C78" s="46" t="inlineStr">
        <is>
          <t>Supports</t>
        </is>
      </c>
      <c r="D78" s="14" t="inlineStr">
        <is>
          <t>Canvassing Services (corresponding Memo on 24/48 Can Not Be Deleted in Fecfile)</t>
        </is>
      </c>
      <c r="E78" s="14" t="inlineStr">
        <is>
          <t>Make the Road Action Inc.</t>
        </is>
      </c>
      <c r="F78" s="14" t="inlineStr">
        <is>
          <t>Brooklyn</t>
        </is>
      </c>
      <c r="G78" s="14" t="inlineStr">
        <is>
          <t>NY</t>
        </is>
      </c>
      <c r="H78" s="47" t="n">
        <v>6405</v>
      </c>
      <c r="I78" s="14" t="inlineStr">
        <is>
          <t>Canvassing and field</t>
        </is>
      </c>
      <c r="J78" s="14" t="inlineStr">
        <is>
          <t>2026-04-17</t>
        </is>
      </c>
    </row>
    <row r="79">
      <c r="A79" s="14" t="inlineStr">
        <is>
          <t>Hmp</t>
        </is>
      </c>
      <c r="B79" s="14" t="inlineStr">
        <is>
          <t>Ryan Mackenzie</t>
        </is>
      </c>
      <c r="C79" s="46" t="inlineStr">
        <is>
          <t>Opposes</t>
        </is>
      </c>
      <c r="D79" s="14" t="inlineStr">
        <is>
          <t>Radio Advertising</t>
        </is>
      </c>
      <c r="E79" s="14" t="inlineStr">
        <is>
          <t>Waterfront Strategies Inc.</t>
        </is>
      </c>
      <c r="F79" s="14" t="inlineStr">
        <is>
          <t>Washington</t>
        </is>
      </c>
      <c r="G79" s="14" t="inlineStr">
        <is>
          <t>DC</t>
        </is>
      </c>
      <c r="H79" s="47" t="n">
        <v>6048</v>
      </c>
      <c r="I79" s="14" t="inlineStr">
        <is>
          <t>Radio</t>
        </is>
      </c>
      <c r="J79" s="14" t="inlineStr">
        <is>
          <t>2026-09-29</t>
        </is>
      </c>
    </row>
    <row r="80">
      <c r="A80" s="14" t="inlineStr">
        <is>
          <t>Youth Save Democracy PAC</t>
        </is>
      </c>
      <c r="B80" s="14" t="inlineStr">
        <is>
          <t>Ryan Mackenzie</t>
        </is>
      </c>
      <c r="C80" s="46" t="inlineStr">
        <is>
          <t>Opposes</t>
        </is>
      </c>
      <c r="D80" s="14" t="inlineStr">
        <is>
          <t>Printing and Postage</t>
        </is>
      </c>
      <c r="E80" s="14" t="inlineStr">
        <is>
          <t>Civitech, Pbc</t>
        </is>
      </c>
      <c r="F80" s="14" t="inlineStr">
        <is>
          <t>San Antonio</t>
        </is>
      </c>
      <c r="G80" s="14" t="inlineStr">
        <is>
          <t>TX</t>
        </is>
      </c>
      <c r="H80" s="47" t="n">
        <v>6044</v>
      </c>
      <c r="I80" s="14" t="inlineStr">
        <is>
          <t>Mail and print</t>
        </is>
      </c>
      <c r="J80" s="14" t="inlineStr">
        <is>
          <t>2025-04-14</t>
        </is>
      </c>
    </row>
    <row r="81">
      <c r="A81" s="14" t="inlineStr">
        <is>
          <t>Hmp</t>
        </is>
      </c>
      <c r="B81" s="14" t="inlineStr">
        <is>
          <t>Ryan Mackenzie</t>
        </is>
      </c>
      <c r="C81" s="46" t="inlineStr">
        <is>
          <t>Opposes</t>
        </is>
      </c>
      <c r="D81" s="14" t="inlineStr">
        <is>
          <t>Media Production</t>
        </is>
      </c>
      <c r="E81" s="14" t="inlineStr">
        <is>
          <t>Conexion Political, LLC</t>
        </is>
      </c>
      <c r="F81" s="14" t="inlineStr">
        <is>
          <t>Washington</t>
        </is>
      </c>
      <c r="G81" s="14" t="inlineStr">
        <is>
          <t>DC</t>
        </is>
      </c>
      <c r="H81" s="47" t="n">
        <v>5432.97</v>
      </c>
      <c r="I81" s="14" t="inlineStr">
        <is>
          <t>Production</t>
        </is>
      </c>
      <c r="J81" s="14" t="inlineStr">
        <is>
          <t>2026-09-30</t>
        </is>
      </c>
    </row>
    <row r="82">
      <c r="A82" s="14" t="inlineStr">
        <is>
          <t>Hmp</t>
        </is>
      </c>
      <c r="B82" s="14" t="inlineStr">
        <is>
          <t>Bob Brooks</t>
        </is>
      </c>
      <c r="C82" s="46" t="inlineStr">
        <is>
          <t>Supports</t>
        </is>
      </c>
      <c r="D82" s="14" t="inlineStr">
        <is>
          <t>Digital Advertising</t>
        </is>
      </c>
      <c r="E82" s="14" t="inlineStr">
        <is>
          <t>Gambit Strategies LLC</t>
        </is>
      </c>
      <c r="F82" s="14" t="inlineStr">
        <is>
          <t>Washington</t>
        </is>
      </c>
      <c r="G82" s="14" t="inlineStr">
        <is>
          <t>DC</t>
        </is>
      </c>
      <c r="H82" s="47" t="n">
        <v>5000</v>
      </c>
      <c r="I82" s="14" t="inlineStr">
        <is>
          <t>Digital advertising</t>
        </is>
      </c>
      <c r="J82" s="14" t="inlineStr">
        <is>
          <t>2026-09-14</t>
        </is>
      </c>
    </row>
    <row r="83">
      <c r="A83" s="14" t="inlineStr">
        <is>
          <t>Working Families Party PAC</t>
        </is>
      </c>
      <c r="B83" s="14" t="inlineStr">
        <is>
          <t>Bob Brooks</t>
        </is>
      </c>
      <c r="C83" s="46" t="inlineStr">
        <is>
          <t>Supports</t>
        </is>
      </c>
      <c r="D83" s="14" t="inlineStr">
        <is>
          <t>Direct Mail Fec-1979274</t>
        </is>
      </c>
      <c r="E83" s="14" t="inlineStr">
        <is>
          <t>Person2person Solutions</t>
        </is>
      </c>
      <c r="F83" s="14" t="inlineStr">
        <is>
          <t>Brooklyn</t>
        </is>
      </c>
      <c r="G83" s="14" t="inlineStr">
        <is>
          <t>NY</t>
        </is>
      </c>
      <c r="H83" s="47" t="n">
        <v>4639.8</v>
      </c>
      <c r="I83" s="14" t="inlineStr">
        <is>
          <t>Mail and print</t>
        </is>
      </c>
      <c r="J83" s="14" t="inlineStr">
        <is>
          <t>2026-08-10</t>
        </is>
      </c>
    </row>
    <row r="84">
      <c r="A84" s="14" t="inlineStr">
        <is>
          <t>Medicare for All</t>
        </is>
      </c>
      <c r="B84" s="14" t="inlineStr">
        <is>
          <t>Bob Brooks</t>
        </is>
      </c>
      <c r="C84" s="46" t="inlineStr">
        <is>
          <t>Supports</t>
        </is>
      </c>
      <c r="D84" s="14" t="inlineStr">
        <is>
          <t>Digital Advertising Production -actual Cost</t>
        </is>
      </c>
      <c r="E84" s="14" t="inlineStr">
        <is>
          <t>Silversmith Strategies, LLC</t>
        </is>
      </c>
      <c r="F84" s="14" t="inlineStr">
        <is>
          <t>Chicago</t>
        </is>
      </c>
      <c r="G84" s="14" t="inlineStr">
        <is>
          <t>IL</t>
        </is>
      </c>
      <c r="H84" s="47" t="n">
        <v>4625</v>
      </c>
      <c r="I84" s="14" t="inlineStr">
        <is>
          <t>Digital advertising</t>
        </is>
      </c>
      <c r="J84" s="14" t="inlineStr">
        <is>
          <t>2026-05-18</t>
        </is>
      </c>
    </row>
    <row r="85">
      <c r="A85" s="14" t="inlineStr">
        <is>
          <t>Blue Majority Project</t>
        </is>
      </c>
      <c r="B85" s="14" t="inlineStr">
        <is>
          <t>Bob Brooks</t>
        </is>
      </c>
      <c r="C85" s="46" t="inlineStr">
        <is>
          <t>Supports</t>
        </is>
      </c>
      <c r="D85" s="14" t="inlineStr">
        <is>
          <t>Non-contribution Accout: Text Messages</t>
        </is>
      </c>
      <c r="E85" s="14" t="inlineStr">
        <is>
          <t>Activate Change LLC</t>
        </is>
      </c>
      <c r="F85" s="14" t="inlineStr">
        <is>
          <t>Dover</t>
        </is>
      </c>
      <c r="G85" s="14" t="inlineStr">
        <is>
          <t>DE</t>
        </is>
      </c>
      <c r="H85" s="47" t="n">
        <v>4250</v>
      </c>
      <c r="I85" s="14" t="inlineStr">
        <is>
          <t>Texting and phone calls</t>
        </is>
      </c>
      <c r="J85" s="14" t="inlineStr">
        <is>
          <t>2025-10-29</t>
        </is>
      </c>
    </row>
    <row r="86">
      <c r="A86" s="14" t="inlineStr">
        <is>
          <t>Stronger Together PA</t>
        </is>
      </c>
      <c r="B86" s="14" t="inlineStr">
        <is>
          <t>Bob Brooks</t>
        </is>
      </c>
      <c r="C86" s="46" t="inlineStr">
        <is>
          <t>Supports</t>
        </is>
      </c>
      <c r="D86" s="14" t="inlineStr">
        <is>
          <t>Ad Buy</t>
        </is>
      </c>
      <c r="E86" s="14" t="inlineStr">
        <is>
          <t>Technicolor Campaigns, LLC</t>
        </is>
      </c>
      <c r="F86" s="14" t="inlineStr">
        <is>
          <t>Philadelphia</t>
        </is>
      </c>
      <c r="G86" s="14" t="inlineStr">
        <is>
          <t>PA</t>
        </is>
      </c>
      <c r="H86" s="47" t="n">
        <v>4000</v>
      </c>
      <c r="I86" s="14" t="inlineStr">
        <is>
          <t>Television and media buys</t>
        </is>
      </c>
      <c r="J86" s="14" t="inlineStr">
        <is>
          <t>2026-05-13</t>
        </is>
      </c>
    </row>
    <row r="87">
      <c r="A87" s="14" t="inlineStr">
        <is>
          <t>Majority Blue PAC</t>
        </is>
      </c>
      <c r="B87" s="14" t="inlineStr">
        <is>
          <t>Bob Brooks</t>
        </is>
      </c>
      <c r="C87" s="46" t="inlineStr">
        <is>
          <t>Supports</t>
        </is>
      </c>
      <c r="D87" s="14" t="inlineStr">
        <is>
          <t>Text Messages</t>
        </is>
      </c>
      <c r="E87" s="14" t="inlineStr">
        <is>
          <t>Activate Change LLC</t>
        </is>
      </c>
      <c r="F87" s="14" t="inlineStr">
        <is>
          <t>Dover</t>
        </is>
      </c>
      <c r="G87" s="14" t="inlineStr">
        <is>
          <t>DE</t>
        </is>
      </c>
      <c r="H87" s="47" t="n">
        <v>3766.66</v>
      </c>
      <c r="I87" s="14" t="inlineStr">
        <is>
          <t>Texting and phone calls</t>
        </is>
      </c>
      <c r="J87" s="14" t="inlineStr">
        <is>
          <t>2026-06-22</t>
        </is>
      </c>
    </row>
    <row r="88">
      <c r="A88" s="14" t="inlineStr">
        <is>
          <t>Blue Shift PAC</t>
        </is>
      </c>
      <c r="B88" s="14" t="inlineStr">
        <is>
          <t>Bob Brooks</t>
        </is>
      </c>
      <c r="C88" s="46" t="inlineStr">
        <is>
          <t>Supports</t>
        </is>
      </c>
      <c r="D88" s="14" t="inlineStr">
        <is>
          <t>Text Messages</t>
        </is>
      </c>
      <c r="E88" s="14" t="inlineStr">
        <is>
          <t>Activate Change LLC</t>
        </is>
      </c>
      <c r="F88" s="14" t="inlineStr">
        <is>
          <t>Dover</t>
        </is>
      </c>
      <c r="G88" s="14" t="inlineStr">
        <is>
          <t>DE</t>
        </is>
      </c>
      <c r="H88" s="47" t="n">
        <v>3625</v>
      </c>
      <c r="I88" s="14" t="inlineStr">
        <is>
          <t>Texting and phone calls</t>
        </is>
      </c>
      <c r="J88" s="14" t="inlineStr">
        <is>
          <t>2026-06-22</t>
        </is>
      </c>
    </row>
    <row r="89">
      <c r="A89" s="14" t="inlineStr">
        <is>
          <t>Working Families Party PAC</t>
        </is>
      </c>
      <c r="B89" s="14" t="inlineStr">
        <is>
          <t>Bob Brooks</t>
        </is>
      </c>
      <c r="C89" s="46" t="inlineStr">
        <is>
          <t>Supports</t>
        </is>
      </c>
      <c r="D89" s="14" t="inlineStr">
        <is>
          <t>Printing</t>
        </is>
      </c>
      <c r="E89" s="14" t="inlineStr">
        <is>
          <t>Minuteman Press of Philadelphia</t>
        </is>
      </c>
      <c r="F89" s="14" t="inlineStr">
        <is>
          <t>Philadelphia</t>
        </is>
      </c>
      <c r="G89" s="14" t="inlineStr">
        <is>
          <t>PA</t>
        </is>
      </c>
      <c r="H89" s="47" t="n">
        <v>3556.19</v>
      </c>
      <c r="I89" s="14" t="inlineStr">
        <is>
          <t>Mail and print</t>
        </is>
      </c>
      <c r="J89" s="14" t="inlineStr">
        <is>
          <t>2026-05-18</t>
        </is>
      </c>
    </row>
    <row r="90">
      <c r="A90" s="14" t="inlineStr">
        <is>
          <t>Seniors Empowering an Effective Democracy (SEED-PAC)</t>
        </is>
      </c>
      <c r="B90" s="14" t="inlineStr">
        <is>
          <t>Bob Brooks</t>
        </is>
      </c>
      <c r="C90" s="46" t="inlineStr">
        <is>
          <t>Supports</t>
        </is>
      </c>
      <c r="D90" s="14" t="inlineStr">
        <is>
          <t>Advertizing</t>
        </is>
      </c>
      <c r="E90" s="14" t="inlineStr">
        <is>
          <t>Purplegator</t>
        </is>
      </c>
      <c r="F90" s="14" t="inlineStr">
        <is>
          <t>Wayne</t>
        </is>
      </c>
      <c r="G90" s="14" t="inlineStr">
        <is>
          <t>PA</t>
        </is>
      </c>
      <c r="H90" s="47" t="n">
        <v>3300</v>
      </c>
      <c r="I90" s="14" t="inlineStr">
        <is>
          <t>Other</t>
        </is>
      </c>
      <c r="J90" s="14" t="inlineStr">
        <is>
          <t>2026-09-22</t>
        </is>
      </c>
    </row>
    <row r="91">
      <c r="A91" s="14" t="inlineStr">
        <is>
          <t>FF PAC</t>
        </is>
      </c>
      <c r="B91" s="14" t="inlineStr">
        <is>
          <t>Bob Brooks</t>
        </is>
      </c>
      <c r="C91" s="46" t="inlineStr">
        <is>
          <t>Supports</t>
        </is>
      </c>
      <c r="D91" s="14" t="inlineStr">
        <is>
          <t>Media Buy and Ad Servicing</t>
        </is>
      </c>
      <c r="E91" s="14" t="inlineStr">
        <is>
          <t>Bully Pulpit International</t>
        </is>
      </c>
      <c r="F91" s="14" t="inlineStr">
        <is>
          <t>Washington</t>
        </is>
      </c>
      <c r="G91" s="14" t="inlineStr">
        <is>
          <t>DC</t>
        </is>
      </c>
      <c r="H91" s="47" t="n">
        <v>3300</v>
      </c>
      <c r="I91" s="14" t="inlineStr">
        <is>
          <t>Television and media buys</t>
        </is>
      </c>
      <c r="J91" s="14" t="inlineStr">
        <is>
          <t>2026-05-18</t>
        </is>
      </c>
    </row>
    <row r="92">
      <c r="A92" s="14" t="inlineStr">
        <is>
          <t>Thomas Paine Society L.l.c.</t>
        </is>
      </c>
      <c r="B92" s="14" t="inlineStr">
        <is>
          <t>Bob Brooks</t>
        </is>
      </c>
      <c r="C92" s="46" t="inlineStr">
        <is>
          <t>Supports</t>
        </is>
      </c>
      <c r="D92" s="14" t="inlineStr">
        <is>
          <t>Political Advertising</t>
        </is>
      </c>
      <c r="E92" s="14" t="inlineStr">
        <is>
          <t>The Morning Call</t>
        </is>
      </c>
      <c r="F92" s="14" t="inlineStr">
        <is>
          <t>Allentown</t>
        </is>
      </c>
      <c r="G92" s="14" t="inlineStr">
        <is>
          <t>PA</t>
        </is>
      </c>
      <c r="H92" s="47" t="n">
        <v>3170.4</v>
      </c>
      <c r="I92" s="14" t="inlineStr">
        <is>
          <t>Other</t>
        </is>
      </c>
      <c r="J92" s="14" t="inlineStr">
        <is>
          <t>2026-08-23</t>
        </is>
      </c>
    </row>
    <row r="93">
      <c r="A93" s="14" t="inlineStr">
        <is>
          <t>Thomas Paine Society L.l.c.</t>
        </is>
      </c>
      <c r="B93" s="14" t="inlineStr">
        <is>
          <t>Bob Brooks</t>
        </is>
      </c>
      <c r="C93" s="46" t="inlineStr">
        <is>
          <t>Supports</t>
        </is>
      </c>
      <c r="D93" s="14" t="inlineStr">
        <is>
          <t>Political Advertising</t>
        </is>
      </c>
      <c r="E93" s="14" t="inlineStr">
        <is>
          <t>The Morning Call</t>
        </is>
      </c>
      <c r="F93" s="14" t="inlineStr">
        <is>
          <t>Allentown</t>
        </is>
      </c>
      <c r="G93" s="14" t="inlineStr">
        <is>
          <t>PA</t>
        </is>
      </c>
      <c r="H93" s="47" t="n">
        <v>3170.4</v>
      </c>
      <c r="I93" s="14" t="inlineStr">
        <is>
          <t>Other</t>
        </is>
      </c>
      <c r="J93" s="14" t="inlineStr">
        <is>
          <t>2026-08-16</t>
        </is>
      </c>
    </row>
    <row r="94">
      <c r="A94" s="14" t="inlineStr">
        <is>
          <t>Thomas Paine Society L.l.c.</t>
        </is>
      </c>
      <c r="B94" s="14" t="inlineStr">
        <is>
          <t>Bob Brooks</t>
        </is>
      </c>
      <c r="C94" s="46" t="inlineStr">
        <is>
          <t>Supports</t>
        </is>
      </c>
      <c r="D94" s="14" t="inlineStr">
        <is>
          <t>Political Advertising</t>
        </is>
      </c>
      <c r="E94" s="14" t="inlineStr">
        <is>
          <t>The Morning Call</t>
        </is>
      </c>
      <c r="F94" s="14" t="inlineStr">
        <is>
          <t>Allentown</t>
        </is>
      </c>
      <c r="G94" s="14" t="inlineStr">
        <is>
          <t>PA</t>
        </is>
      </c>
      <c r="H94" s="47" t="n">
        <v>3170.4</v>
      </c>
      <c r="I94" s="14" t="inlineStr">
        <is>
          <t>Other</t>
        </is>
      </c>
      <c r="J94" s="14" t="inlineStr">
        <is>
          <t>2026-08-09</t>
        </is>
      </c>
    </row>
    <row r="95">
      <c r="A95" s="14" t="inlineStr">
        <is>
          <t>Thomas Paine Society L.l.c.</t>
        </is>
      </c>
      <c r="B95" s="14" t="inlineStr">
        <is>
          <t>Bob Brooks</t>
        </is>
      </c>
      <c r="C95" s="46" t="inlineStr">
        <is>
          <t>Supports</t>
        </is>
      </c>
      <c r="D95" s="14" t="inlineStr">
        <is>
          <t>Political Advertising</t>
        </is>
      </c>
      <c r="E95" s="14" t="inlineStr">
        <is>
          <t>The Morning Call</t>
        </is>
      </c>
      <c r="F95" s="14" t="inlineStr">
        <is>
          <t>Allentown</t>
        </is>
      </c>
      <c r="G95" s="14" t="inlineStr">
        <is>
          <t>PA</t>
        </is>
      </c>
      <c r="H95" s="47" t="n">
        <v>3170.4</v>
      </c>
      <c r="I95" s="14" t="inlineStr">
        <is>
          <t>Other</t>
        </is>
      </c>
      <c r="J95" s="14" t="inlineStr">
        <is>
          <t>2026-08-02</t>
        </is>
      </c>
    </row>
    <row r="96">
      <c r="A96" s="14" t="inlineStr">
        <is>
          <t>Thomas Paine Society L.l.c.</t>
        </is>
      </c>
      <c r="B96" s="14" t="inlineStr">
        <is>
          <t>Bob Brooks</t>
        </is>
      </c>
      <c r="C96" s="46" t="inlineStr">
        <is>
          <t>Supports</t>
        </is>
      </c>
      <c r="D96" s="14" t="inlineStr">
        <is>
          <t>Political Advertising</t>
        </is>
      </c>
      <c r="E96" s="14" t="inlineStr">
        <is>
          <t>The Morning Call</t>
        </is>
      </c>
      <c r="F96" s="14" t="inlineStr">
        <is>
          <t>Allentown</t>
        </is>
      </c>
      <c r="G96" s="14" t="inlineStr">
        <is>
          <t>PA</t>
        </is>
      </c>
      <c r="H96" s="47" t="n">
        <v>3170.4</v>
      </c>
      <c r="I96" s="14" t="inlineStr">
        <is>
          <t>Other</t>
        </is>
      </c>
      <c r="J96" s="14" t="inlineStr">
        <is>
          <t>2026-07-26</t>
        </is>
      </c>
    </row>
    <row r="97">
      <c r="A97" s="14" t="inlineStr">
        <is>
          <t>Make the Road Action Political Committee</t>
        </is>
      </c>
      <c r="B97" s="14" t="inlineStr">
        <is>
          <t>Bob Brooks</t>
        </is>
      </c>
      <c r="C97" s="46" t="inlineStr">
        <is>
          <t>Supports</t>
        </is>
      </c>
      <c r="D97" s="14" t="inlineStr">
        <is>
          <t>Canvassing Services (corresponding Memo on 24/48 Can Not Be Deleted in Fecfile)</t>
        </is>
      </c>
      <c r="E97" s="14" t="inlineStr">
        <is>
          <t>Make the Road Action Inc.</t>
        </is>
      </c>
      <c r="F97" s="14" t="inlineStr">
        <is>
          <t>Brooklyn</t>
        </is>
      </c>
      <c r="G97" s="14" t="inlineStr">
        <is>
          <t>NY</t>
        </is>
      </c>
      <c r="H97" s="47" t="n">
        <v>3160.5</v>
      </c>
      <c r="I97" s="14" t="inlineStr">
        <is>
          <t>Canvassing and field</t>
        </is>
      </c>
      <c r="J97" s="14" t="inlineStr">
        <is>
          <t>2026-04-04</t>
        </is>
      </c>
    </row>
    <row r="98">
      <c r="A98" s="14" t="inlineStr">
        <is>
          <t>Make the Road Action Political Committee</t>
        </is>
      </c>
      <c r="B98" s="14" t="inlineStr">
        <is>
          <t>Bob Brooks</t>
        </is>
      </c>
      <c r="C98" s="46" t="inlineStr">
        <is>
          <t>Supports</t>
        </is>
      </c>
      <c r="D98" s="14" t="inlineStr">
        <is>
          <t>Canvassing Services (corresponding Memo on 24/48 Can Not Be Deleted in Fecfile)</t>
        </is>
      </c>
      <c r="E98" s="14" t="inlineStr">
        <is>
          <t>Make the Road Action Inc.</t>
        </is>
      </c>
      <c r="F98" s="14" t="inlineStr">
        <is>
          <t>Brooklyn</t>
        </is>
      </c>
      <c r="G98" s="14" t="inlineStr">
        <is>
          <t>NY</t>
        </is>
      </c>
      <c r="H98" s="47" t="n">
        <v>3118.5</v>
      </c>
      <c r="I98" s="14" t="inlineStr">
        <is>
          <t>Canvassing and field</t>
        </is>
      </c>
      <c r="J98" s="14" t="inlineStr">
        <is>
          <t>2026-04-10</t>
        </is>
      </c>
    </row>
    <row r="99">
      <c r="A99" s="14" t="inlineStr">
        <is>
          <t>Make the Road Action Political Committee</t>
        </is>
      </c>
      <c r="B99" s="14" t="inlineStr">
        <is>
          <t>Bob Brooks</t>
        </is>
      </c>
      <c r="C99" s="46" t="inlineStr">
        <is>
          <t>Supports</t>
        </is>
      </c>
      <c r="D99" s="14" t="inlineStr">
        <is>
          <t>Canvassing Services (corresponding Memo on 24/48 Can Not Be Deleted in Fecfile)</t>
        </is>
      </c>
      <c r="E99" s="14" t="inlineStr">
        <is>
          <t>Make the Road Action Inc.</t>
        </is>
      </c>
      <c r="F99" s="14" t="inlineStr">
        <is>
          <t>Brooklyn</t>
        </is>
      </c>
      <c r="G99" s="14" t="inlineStr">
        <is>
          <t>NY</t>
        </is>
      </c>
      <c r="H99" s="47" t="n">
        <v>2940</v>
      </c>
      <c r="I99" s="14" t="inlineStr">
        <is>
          <t>Canvassing and field</t>
        </is>
      </c>
      <c r="J99" s="14" t="inlineStr">
        <is>
          <t>2026-06-01</t>
        </is>
      </c>
    </row>
    <row r="100">
      <c r="A100" s="14" t="inlineStr">
        <is>
          <t>Kitchen Table Values PAC</t>
        </is>
      </c>
      <c r="B100" s="14" t="inlineStr">
        <is>
          <t>Bob Brooks</t>
        </is>
      </c>
      <c r="C100" s="46" t="inlineStr">
        <is>
          <t>Opposes</t>
        </is>
      </c>
      <c r="D100" s="14" t="inlineStr">
        <is>
          <t>Radio Ad</t>
        </is>
      </c>
      <c r="E100" s="14" t="inlineStr">
        <is>
          <t>Vp Broadcasting LLC</t>
        </is>
      </c>
      <c r="F100" s="14" t="inlineStr">
        <is>
          <t>Allentown</t>
        </is>
      </c>
      <c r="G100" s="14" t="inlineStr">
        <is>
          <t>PA</t>
        </is>
      </c>
      <c r="H100" s="47" t="n">
        <v>2040</v>
      </c>
      <c r="I100" s="14" t="inlineStr">
        <is>
          <t>Radio</t>
        </is>
      </c>
      <c r="J100" s="14" t="inlineStr">
        <is>
          <t>2026-05-11</t>
        </is>
      </c>
    </row>
    <row r="101">
      <c r="A101" s="14" t="inlineStr">
        <is>
          <t>SEIU Cope (service Employees International Union Committee on Political Education)</t>
        </is>
      </c>
      <c r="B101" s="14" t="inlineStr">
        <is>
          <t>Bob Brooks</t>
        </is>
      </c>
      <c r="C101" s="46" t="inlineStr">
        <is>
          <t>Supports</t>
        </is>
      </c>
      <c r="D101" s="14" t="inlineStr">
        <is>
          <t>Payment for Texting As Disclosed on 5/17 24-hour Notice &amp; 6/20 Monthly Report</t>
        </is>
      </c>
      <c r="E101" s="14" t="inlineStr">
        <is>
          <t>Scale to Win</t>
        </is>
      </c>
      <c r="F101" s="14" t="inlineStr">
        <is>
          <t>Santa Ana</t>
        </is>
      </c>
      <c r="G101" s="14" t="inlineStr">
        <is>
          <t>CA</t>
        </is>
      </c>
      <c r="H101" s="47" t="n">
        <v>2001.41</v>
      </c>
      <c r="I101" s="14" t="inlineStr">
        <is>
          <t>Texting and phone calls</t>
        </is>
      </c>
      <c r="J101" s="14" t="inlineStr">
        <is>
          <t>2026-08-13</t>
        </is>
      </c>
    </row>
    <row r="102">
      <c r="A102" s="14" t="inlineStr">
        <is>
          <t>Rural Freedom Network</t>
        </is>
      </c>
      <c r="B102" s="14" t="inlineStr">
        <is>
          <t>Bob Brooks</t>
        </is>
      </c>
      <c r="C102" s="46" t="inlineStr">
        <is>
          <t>Supports</t>
        </is>
      </c>
      <c r="D102" s="14" t="inlineStr">
        <is>
          <t>Printing</t>
        </is>
      </c>
      <c r="E102" s="14" t="inlineStr">
        <is>
          <t>Zippityprint</t>
        </is>
      </c>
      <c r="F102" s="14" t="inlineStr">
        <is>
          <t>Cleveland</t>
        </is>
      </c>
      <c r="G102" s="14" t="inlineStr">
        <is>
          <t>OH</t>
        </is>
      </c>
      <c r="H102" s="47" t="n">
        <v>1745.97</v>
      </c>
      <c r="I102" s="14" t="inlineStr">
        <is>
          <t>Mail and print</t>
        </is>
      </c>
      <c r="J102" s="14" t="inlineStr">
        <is>
          <t>2026-09-15</t>
        </is>
      </c>
    </row>
    <row r="103">
      <c r="A103" s="14" t="inlineStr">
        <is>
          <t>Kitchen Table Values PAC</t>
        </is>
      </c>
      <c r="B103" s="14" t="inlineStr">
        <is>
          <t>Bob Brooks</t>
        </is>
      </c>
      <c r="C103" s="46" t="inlineStr">
        <is>
          <t>Opposes</t>
        </is>
      </c>
      <c r="D103" s="14" t="inlineStr">
        <is>
          <t>Texts</t>
        </is>
      </c>
      <c r="E103" s="14" t="inlineStr">
        <is>
          <t>Stephen Barron</t>
        </is>
      </c>
      <c r="F103" s="14" t="inlineStr">
        <is>
          <t>Bethlehem</t>
        </is>
      </c>
      <c r="G103" s="14" t="inlineStr">
        <is>
          <t>PA</t>
        </is>
      </c>
      <c r="H103" s="47" t="n">
        <v>1700</v>
      </c>
      <c r="I103" s="14" t="inlineStr">
        <is>
          <t>Texting and phone calls</t>
        </is>
      </c>
      <c r="J103" s="14" t="inlineStr">
        <is>
          <t>2026-05-05</t>
        </is>
      </c>
    </row>
    <row r="104">
      <c r="A104" s="14" t="inlineStr">
        <is>
          <t>Kitchen Table Values PAC</t>
        </is>
      </c>
      <c r="B104" s="14" t="inlineStr">
        <is>
          <t>Bob Brooks</t>
        </is>
      </c>
      <c r="C104" s="46" t="inlineStr">
        <is>
          <t>Opposes</t>
        </is>
      </c>
      <c r="D104" s="14" t="inlineStr">
        <is>
          <t>Texts</t>
        </is>
      </c>
      <c r="E104" s="14" t="inlineStr">
        <is>
          <t>Stephen Barron</t>
        </is>
      </c>
      <c r="F104" s="14" t="inlineStr">
        <is>
          <t>Bethlehem</t>
        </is>
      </c>
      <c r="G104" s="14" t="inlineStr">
        <is>
          <t>PA</t>
        </is>
      </c>
      <c r="H104" s="47" t="n">
        <v>1700</v>
      </c>
      <c r="I104" s="14" t="inlineStr">
        <is>
          <t>Texting and phone calls</t>
        </is>
      </c>
      <c r="J104" s="14" t="inlineStr">
        <is>
          <t>2026-04-29</t>
        </is>
      </c>
    </row>
    <row r="105">
      <c r="A105" s="14" t="inlineStr">
        <is>
          <t>Kitchen Table Values PAC</t>
        </is>
      </c>
      <c r="B105" s="14" t="inlineStr">
        <is>
          <t>Bob Brooks</t>
        </is>
      </c>
      <c r="C105" s="46" t="inlineStr">
        <is>
          <t>Opposes</t>
        </is>
      </c>
      <c r="D105" s="14" t="inlineStr">
        <is>
          <t>Texts</t>
        </is>
      </c>
      <c r="E105" s="14" t="inlineStr">
        <is>
          <t>Stephen Barron</t>
        </is>
      </c>
      <c r="F105" s="14" t="inlineStr">
        <is>
          <t>Bethlehem</t>
        </is>
      </c>
      <c r="G105" s="14" t="inlineStr">
        <is>
          <t>PA</t>
        </is>
      </c>
      <c r="H105" s="47" t="n">
        <v>1700</v>
      </c>
      <c r="I105" s="14" t="inlineStr">
        <is>
          <t>Texting and phone calls</t>
        </is>
      </c>
      <c r="J105" s="14" t="inlineStr">
        <is>
          <t>2026-04-29</t>
        </is>
      </c>
    </row>
    <row r="106">
      <c r="A106" s="14" t="inlineStr">
        <is>
          <t>Kitchen Table Values PAC</t>
        </is>
      </c>
      <c r="B106" s="14" t="inlineStr">
        <is>
          <t>Bob Brooks</t>
        </is>
      </c>
      <c r="C106" s="46" t="inlineStr">
        <is>
          <t>Opposes</t>
        </is>
      </c>
      <c r="D106" s="14" t="inlineStr">
        <is>
          <t>Texts</t>
        </is>
      </c>
      <c r="E106" s="14" t="inlineStr">
        <is>
          <t>Stephen Barron</t>
        </is>
      </c>
      <c r="F106" s="14" t="inlineStr">
        <is>
          <t>Bethlehem</t>
        </is>
      </c>
      <c r="G106" s="14" t="inlineStr">
        <is>
          <t>PA</t>
        </is>
      </c>
      <c r="H106" s="47" t="n">
        <v>1700</v>
      </c>
      <c r="I106" s="14" t="inlineStr">
        <is>
          <t>Texting and phone calls</t>
        </is>
      </c>
      <c r="J106" s="14" t="inlineStr">
        <is>
          <t>2026-04-16</t>
        </is>
      </c>
    </row>
    <row r="107">
      <c r="A107" s="14" t="inlineStr">
        <is>
          <t>Democratic Future PAC</t>
        </is>
      </c>
      <c r="B107" s="14" t="inlineStr">
        <is>
          <t>Bob Brooks</t>
        </is>
      </c>
      <c r="C107" s="46" t="inlineStr">
        <is>
          <t>Supports</t>
        </is>
      </c>
      <c r="D107" s="14" t="inlineStr">
        <is>
          <t>Text Messages</t>
        </is>
      </c>
      <c r="E107" s="14" t="inlineStr">
        <is>
          <t>Activate Change LLC</t>
        </is>
      </c>
      <c r="F107" s="14" t="inlineStr">
        <is>
          <t>Dover</t>
        </is>
      </c>
      <c r="G107" s="14" t="inlineStr">
        <is>
          <t>DE</t>
        </is>
      </c>
      <c r="H107" s="47" t="n">
        <v>1600</v>
      </c>
      <c r="I107" s="14" t="inlineStr">
        <is>
          <t>Texting and phone calls</t>
        </is>
      </c>
      <c r="J107" s="14" t="inlineStr">
        <is>
          <t>2026-04-20</t>
        </is>
      </c>
    </row>
    <row r="108">
      <c r="A108" s="14" t="inlineStr">
        <is>
          <t>Rural Freedom Network</t>
        </is>
      </c>
      <c r="B108" s="14" t="inlineStr">
        <is>
          <t>Ryan Mackenzie</t>
        </is>
      </c>
      <c r="C108" s="46" t="inlineStr">
        <is>
          <t>Opposes</t>
        </is>
      </c>
      <c r="D108" s="14" t="inlineStr">
        <is>
          <t>Printing</t>
        </is>
      </c>
      <c r="E108" s="14" t="inlineStr">
        <is>
          <t>Zippityprint</t>
        </is>
      </c>
      <c r="F108" s="14" t="inlineStr">
        <is>
          <t>Cleveland</t>
        </is>
      </c>
      <c r="G108" s="14" t="inlineStr">
        <is>
          <t>OH</t>
        </is>
      </c>
      <c r="H108" s="47" t="n">
        <v>1517.06</v>
      </c>
      <c r="I108" s="14" t="inlineStr">
        <is>
          <t>Mail and print</t>
        </is>
      </c>
      <c r="J108" s="14" t="inlineStr">
        <is>
          <t>2026-03-06</t>
        </is>
      </c>
    </row>
    <row r="109">
      <c r="A109" s="14" t="inlineStr">
        <is>
          <t>Make the Road Action Political Committee</t>
        </is>
      </c>
      <c r="B109" s="14" t="inlineStr">
        <is>
          <t>Bob Brooks</t>
        </is>
      </c>
      <c r="C109" s="46" t="inlineStr">
        <is>
          <t>Supports</t>
        </is>
      </c>
      <c r="D109" s="14" t="inlineStr">
        <is>
          <t>Door Literature</t>
        </is>
      </c>
      <c r="E109" s="14" t="inlineStr">
        <is>
          <t>Minuteman Press</t>
        </is>
      </c>
      <c r="F109" s="14" t="inlineStr">
        <is>
          <t>Philadelphia</t>
        </is>
      </c>
      <c r="G109" s="14" t="inlineStr">
        <is>
          <t>PA</t>
        </is>
      </c>
      <c r="H109" s="47" t="n">
        <v>1421.27</v>
      </c>
      <c r="I109" s="14" t="inlineStr">
        <is>
          <t>Mail and print</t>
        </is>
      </c>
      <c r="J109" s="14" t="inlineStr">
        <is>
          <t>2026-04-10</t>
        </is>
      </c>
    </row>
    <row r="110">
      <c r="A110" s="14" t="inlineStr">
        <is>
          <t>Activate America</t>
        </is>
      </c>
      <c r="B110" s="14" t="inlineStr">
        <is>
          <t>Ryan Mackenzie</t>
        </is>
      </c>
      <c r="C110" s="46" t="inlineStr">
        <is>
          <t>Opposes</t>
        </is>
      </c>
      <c r="D110" s="14" t="inlineStr">
        <is>
          <t>Voter Data</t>
        </is>
      </c>
      <c r="E110" s="14" t="inlineStr">
        <is>
          <t>America Votes</t>
        </is>
      </c>
      <c r="F110" s="14" t="inlineStr">
        <is>
          <t>Washington</t>
        </is>
      </c>
      <c r="G110" s="14" t="inlineStr">
        <is>
          <t>DC</t>
        </is>
      </c>
      <c r="H110" s="47" t="n">
        <v>1230.12</v>
      </c>
      <c r="I110" s="14" t="inlineStr">
        <is>
          <t>Data</t>
        </is>
      </c>
      <c r="J110" s="14" t="inlineStr">
        <is>
          <t>2025-04-14</t>
        </is>
      </c>
    </row>
    <row r="111">
      <c r="A111" s="14" t="inlineStr">
        <is>
          <t>FF PAC</t>
        </is>
      </c>
      <c r="B111" s="14" t="inlineStr">
        <is>
          <t>Bob Brooks</t>
        </is>
      </c>
      <c r="C111" s="46" t="inlineStr">
        <is>
          <t>Supports</t>
        </is>
      </c>
      <c r="D111" s="14" t="inlineStr">
        <is>
          <t>Ad Production</t>
        </is>
      </c>
      <c r="E111" s="14" t="inlineStr">
        <is>
          <t>Echo Networks LLC</t>
        </is>
      </c>
      <c r="F111" s="14" t="inlineStr">
        <is>
          <t>Brooklyn</t>
        </is>
      </c>
      <c r="G111" s="14" t="inlineStr">
        <is>
          <t>NY</t>
        </is>
      </c>
      <c r="H111" s="47" t="n">
        <v>1200</v>
      </c>
      <c r="I111" s="14" t="inlineStr">
        <is>
          <t>Production</t>
        </is>
      </c>
      <c r="J111" s="14" t="inlineStr">
        <is>
          <t>2026-05-18</t>
        </is>
      </c>
    </row>
    <row r="112">
      <c r="A112" s="14" t="inlineStr">
        <is>
          <t>Majority Blue PAC</t>
        </is>
      </c>
      <c r="B112" s="14" t="inlineStr">
        <is>
          <t>Bob Brooks</t>
        </is>
      </c>
      <c r="C112" s="46" t="inlineStr">
        <is>
          <t>Supports</t>
        </is>
      </c>
      <c r="D112" s="14" t="inlineStr">
        <is>
          <t>Text Messages</t>
        </is>
      </c>
      <c r="E112" s="14" t="inlineStr">
        <is>
          <t>Activate Change LLC</t>
        </is>
      </c>
      <c r="F112" s="14" t="inlineStr">
        <is>
          <t>Dover</t>
        </is>
      </c>
      <c r="G112" s="14" t="inlineStr">
        <is>
          <t>DE</t>
        </is>
      </c>
      <c r="H112" s="47" t="n">
        <v>1175</v>
      </c>
      <c r="I112" s="14" t="inlineStr">
        <is>
          <t>Texting and phone calls</t>
        </is>
      </c>
      <c r="J112" s="14" t="inlineStr">
        <is>
          <t>2026-06-22</t>
        </is>
      </c>
    </row>
    <row r="113">
      <c r="A113" s="14" t="inlineStr">
        <is>
          <t>Blue Shift PAC</t>
        </is>
      </c>
      <c r="B113" s="14" t="inlineStr">
        <is>
          <t>Bob Brooks</t>
        </is>
      </c>
      <c r="C113" s="46" t="inlineStr">
        <is>
          <t>Supports</t>
        </is>
      </c>
      <c r="D113" s="14" t="inlineStr">
        <is>
          <t>Text Messages</t>
        </is>
      </c>
      <c r="E113" s="14" t="inlineStr">
        <is>
          <t>Activate Change LLC</t>
        </is>
      </c>
      <c r="F113" s="14" t="inlineStr">
        <is>
          <t>Dover</t>
        </is>
      </c>
      <c r="G113" s="14" t="inlineStr">
        <is>
          <t>DE</t>
        </is>
      </c>
      <c r="H113" s="47" t="n">
        <v>1083.33</v>
      </c>
      <c r="I113" s="14" t="inlineStr">
        <is>
          <t>Texting and phone calls</t>
        </is>
      </c>
      <c r="J113" s="14" t="inlineStr">
        <is>
          <t>2026-04-20</t>
        </is>
      </c>
    </row>
    <row r="114">
      <c r="A114" s="14" t="inlineStr">
        <is>
          <t>Blue Democracy Network</t>
        </is>
      </c>
      <c r="B114" s="14" t="inlineStr">
        <is>
          <t>Bob Brooks</t>
        </is>
      </c>
      <c r="C114" s="46" t="inlineStr">
        <is>
          <t>Supports</t>
        </is>
      </c>
      <c r="D114" s="14" t="inlineStr">
        <is>
          <t>Text Messages</t>
        </is>
      </c>
      <c r="E114" s="14" t="inlineStr">
        <is>
          <t>Activate Change LLC</t>
        </is>
      </c>
      <c r="F114" s="14" t="inlineStr">
        <is>
          <t>Dover</t>
        </is>
      </c>
      <c r="G114" s="14" t="inlineStr">
        <is>
          <t>DE</t>
        </is>
      </c>
      <c r="H114" s="47" t="n">
        <v>1012.5</v>
      </c>
      <c r="I114" s="14" t="inlineStr">
        <is>
          <t>Texting and phone calls</t>
        </is>
      </c>
      <c r="J114" s="14" t="inlineStr">
        <is>
          <t>2026-04-20</t>
        </is>
      </c>
    </row>
    <row r="115">
      <c r="A115" s="14" t="inlineStr">
        <is>
          <t>Democratic Future PAC</t>
        </is>
      </c>
      <c r="B115" s="14" t="inlineStr">
        <is>
          <t>Bob Brooks</t>
        </is>
      </c>
      <c r="C115" s="46" t="inlineStr">
        <is>
          <t>Supports</t>
        </is>
      </c>
      <c r="D115" s="14" t="inlineStr">
        <is>
          <t>Text Messages</t>
        </is>
      </c>
      <c r="E115" s="14" t="inlineStr">
        <is>
          <t>Activate Change LLC</t>
        </is>
      </c>
      <c r="F115" s="14" t="inlineStr">
        <is>
          <t>Dover</t>
        </is>
      </c>
      <c r="G115" s="14" t="inlineStr">
        <is>
          <t>DE</t>
        </is>
      </c>
      <c r="H115" s="47" t="n">
        <v>1000</v>
      </c>
      <c r="I115" s="14" t="inlineStr">
        <is>
          <t>Texting and phone calls</t>
        </is>
      </c>
      <c r="J115" s="14" t="inlineStr">
        <is>
          <t>2026-04-20</t>
        </is>
      </c>
    </row>
    <row r="116">
      <c r="A116" s="14" t="inlineStr">
        <is>
          <t>SEIU Cope (service Employees International Union Committee on Political Education)</t>
        </is>
      </c>
      <c r="B116" s="14" t="inlineStr">
        <is>
          <t>Bob Brooks</t>
        </is>
      </c>
      <c r="C116" s="46" t="inlineStr">
        <is>
          <t>Supports</t>
        </is>
      </c>
      <c r="D116" s="14" t="inlineStr">
        <is>
          <t>Payment for Texting As Disclosed on 6/20 Monthly Report</t>
        </is>
      </c>
      <c r="E116" s="14" t="inlineStr">
        <is>
          <t>Scale to Win</t>
        </is>
      </c>
      <c r="F116" s="14" t="inlineStr">
        <is>
          <t>Santa Ana</t>
        </is>
      </c>
      <c r="G116" s="14" t="inlineStr">
        <is>
          <t>CA</t>
        </is>
      </c>
      <c r="H116" s="47" t="n">
        <v>907.6799999999999</v>
      </c>
      <c r="I116" s="14" t="inlineStr">
        <is>
          <t>Texting and phone calls</t>
        </is>
      </c>
      <c r="J116" s="14" t="inlineStr">
        <is>
          <t>2026-08-13</t>
        </is>
      </c>
    </row>
    <row r="117">
      <c r="A117" s="14" t="inlineStr">
        <is>
          <t>Blue Majority Project</t>
        </is>
      </c>
      <c r="B117" s="14" t="inlineStr">
        <is>
          <t>Bob Brooks</t>
        </is>
      </c>
      <c r="C117" s="46" t="inlineStr">
        <is>
          <t>Supports</t>
        </is>
      </c>
      <c r="D117" s="14" t="inlineStr">
        <is>
          <t>Text Messages</t>
        </is>
      </c>
      <c r="E117" s="14" t="inlineStr">
        <is>
          <t>Activate Change LLC</t>
        </is>
      </c>
      <c r="F117" s="14" t="inlineStr">
        <is>
          <t>Dover</t>
        </is>
      </c>
      <c r="G117" s="14" t="inlineStr">
        <is>
          <t>DE</t>
        </is>
      </c>
      <c r="H117" s="47" t="n">
        <v>883.34</v>
      </c>
      <c r="I117" s="14" t="inlineStr">
        <is>
          <t>Texting and phone calls</t>
        </is>
      </c>
      <c r="J117" s="14" t="inlineStr">
        <is>
          <t>2026-02-09</t>
        </is>
      </c>
    </row>
    <row r="118">
      <c r="A118" s="14" t="inlineStr">
        <is>
          <t>Field Team 6, Inc.</t>
        </is>
      </c>
      <c r="B118" s="14" t="inlineStr">
        <is>
          <t>Ryan Mackenzie</t>
        </is>
      </c>
      <c r="C118" s="46" t="inlineStr">
        <is>
          <t>Opposes</t>
        </is>
      </c>
      <c r="D118" s="14" t="inlineStr">
        <is>
          <t>Sms Texting</t>
        </is>
      </c>
      <c r="E118" s="14" t="inlineStr">
        <is>
          <t>Momentous Outreach Inc</t>
        </is>
      </c>
      <c r="F118" s="14" t="inlineStr">
        <is>
          <t>Los Angeles</t>
        </is>
      </c>
      <c r="G118" s="14" t="inlineStr">
        <is>
          <t>CA</t>
        </is>
      </c>
      <c r="H118" s="47" t="n">
        <v>859.88</v>
      </c>
      <c r="I118" s="14" t="inlineStr">
        <is>
          <t>Texting and phone calls</t>
        </is>
      </c>
      <c r="J118" s="14" t="inlineStr">
        <is>
          <t>2026-03-05</t>
        </is>
      </c>
    </row>
    <row r="119">
      <c r="A119" s="14" t="inlineStr">
        <is>
          <t>Make the Road Action Political Committee</t>
        </is>
      </c>
      <c r="B119" s="14" t="inlineStr">
        <is>
          <t>Bob Brooks</t>
        </is>
      </c>
      <c r="C119" s="46" t="inlineStr">
        <is>
          <t>Supports</t>
        </is>
      </c>
      <c r="D119" s="14" t="inlineStr">
        <is>
          <t>Canvassing Services (corresponding Memo on 24/48 Can Not Be Deleted in Fecfile)</t>
        </is>
      </c>
      <c r="E119" s="14" t="inlineStr">
        <is>
          <t>Make the Road Action Inc.</t>
        </is>
      </c>
      <c r="F119" s="14" t="inlineStr">
        <is>
          <t>Brooklyn</t>
        </is>
      </c>
      <c r="G119" s="14" t="inlineStr">
        <is>
          <t>NY</t>
        </is>
      </c>
      <c r="H119" s="47" t="n">
        <v>735</v>
      </c>
      <c r="I119" s="14" t="inlineStr">
        <is>
          <t>Canvassing and field</t>
        </is>
      </c>
      <c r="J119" s="14" t="inlineStr">
        <is>
          <t>2026-04-30</t>
        </is>
      </c>
    </row>
    <row r="120">
      <c r="A120" s="14" t="inlineStr">
        <is>
          <t>Make the Road Action Political Committee</t>
        </is>
      </c>
      <c r="B120" s="14" t="inlineStr">
        <is>
          <t>Bob Brooks</t>
        </is>
      </c>
      <c r="C120" s="46" t="inlineStr">
        <is>
          <t>Supports</t>
        </is>
      </c>
      <c r="D120" s="14" t="inlineStr">
        <is>
          <t>Canvassing Services (corresponding Memo on 24/48 Can Not Be Deleted in Fecfile)</t>
        </is>
      </c>
      <c r="E120" s="14" t="inlineStr">
        <is>
          <t>Make the Road Action Inc.</t>
        </is>
      </c>
      <c r="F120" s="14" t="inlineStr">
        <is>
          <t>Brooklyn</t>
        </is>
      </c>
      <c r="G120" s="14" t="inlineStr">
        <is>
          <t>NY</t>
        </is>
      </c>
      <c r="H120" s="47" t="n">
        <v>682</v>
      </c>
      <c r="I120" s="14" t="inlineStr">
        <is>
          <t>Canvassing and field</t>
        </is>
      </c>
      <c r="J120" s="14" t="inlineStr">
        <is>
          <t>2026-06-01</t>
        </is>
      </c>
    </row>
    <row r="121">
      <c r="A121" s="14" t="inlineStr">
        <is>
          <t>Blue Majority Makers PAC</t>
        </is>
      </c>
      <c r="B121" s="14" t="inlineStr">
        <is>
          <t>Bob Brooks</t>
        </is>
      </c>
      <c r="C121" s="46" t="inlineStr">
        <is>
          <t>Supports</t>
        </is>
      </c>
      <c r="D121" s="14" t="inlineStr">
        <is>
          <t>Text Messages</t>
        </is>
      </c>
      <c r="E121" s="14" t="inlineStr">
        <is>
          <t>Activate Change LLC</t>
        </is>
      </c>
      <c r="F121" s="14" t="inlineStr">
        <is>
          <t>Dover</t>
        </is>
      </c>
      <c r="G121" s="14" t="inlineStr">
        <is>
          <t>DE</t>
        </is>
      </c>
      <c r="H121" s="47" t="n">
        <v>666.66</v>
      </c>
      <c r="I121" s="14" t="inlineStr">
        <is>
          <t>Texting and phone calls</t>
        </is>
      </c>
      <c r="J121" s="14" t="inlineStr">
        <is>
          <t>2026-06-22</t>
        </is>
      </c>
    </row>
    <row r="122">
      <c r="A122" s="14" t="inlineStr">
        <is>
          <t>Field Team 6, Inc.</t>
        </is>
      </c>
      <c r="B122" s="14" t="inlineStr">
        <is>
          <t>Bob Brooks</t>
        </is>
      </c>
      <c r="C122" s="46" t="inlineStr">
        <is>
          <t>Supports</t>
        </is>
      </c>
      <c r="D122" s="14" t="inlineStr">
        <is>
          <t>Sms Texting</t>
        </is>
      </c>
      <c r="E122" s="14" t="inlineStr">
        <is>
          <t>Momentous Outreach Inc</t>
        </is>
      </c>
      <c r="F122" s="14" t="inlineStr">
        <is>
          <t>Los Angeles</t>
        </is>
      </c>
      <c r="G122" s="14" t="inlineStr">
        <is>
          <t>CA</t>
        </is>
      </c>
      <c r="H122" s="47" t="n">
        <v>638.3</v>
      </c>
      <c r="I122" s="14" t="inlineStr">
        <is>
          <t>Texting and phone calls</t>
        </is>
      </c>
      <c r="J122" s="14" t="inlineStr">
        <is>
          <t>2026-06-24</t>
        </is>
      </c>
    </row>
    <row r="123">
      <c r="A123" s="14" t="inlineStr">
        <is>
          <t>People's Action Power</t>
        </is>
      </c>
      <c r="B123" s="14" t="inlineStr">
        <is>
          <t>Bob Brooks</t>
        </is>
      </c>
      <c r="C123" s="46" t="inlineStr">
        <is>
          <t>Supports</t>
        </is>
      </c>
      <c r="D123" s="14" t="inlineStr">
        <is>
          <t>Non-contribution Account: Text Messaging</t>
        </is>
      </c>
      <c r="E123" s="14" t="inlineStr">
        <is>
          <t>Scale to Win</t>
        </is>
      </c>
      <c r="F123" s="14" t="inlineStr">
        <is>
          <t>Santa Ana</t>
        </is>
      </c>
      <c r="G123" s="14" t="inlineStr">
        <is>
          <t>CA</t>
        </is>
      </c>
      <c r="H123" s="47" t="n">
        <v>530.05</v>
      </c>
      <c r="I123" s="14" t="inlineStr">
        <is>
          <t>Texting and phone calls</t>
        </is>
      </c>
      <c r="J123" s="14" t="inlineStr">
        <is>
          <t>2026-08-07</t>
        </is>
      </c>
    </row>
    <row r="124">
      <c r="A124" s="14" t="inlineStr">
        <is>
          <t>Field Team 6, Inc.</t>
        </is>
      </c>
      <c r="B124" s="14" t="inlineStr">
        <is>
          <t>Bob Brooks</t>
        </is>
      </c>
      <c r="C124" s="46" t="inlineStr">
        <is>
          <t>Supports</t>
        </is>
      </c>
      <c r="D124" s="14" t="inlineStr">
        <is>
          <t>Sms Texting</t>
        </is>
      </c>
      <c r="E124" s="14" t="inlineStr">
        <is>
          <t>Momentous Outreach Inc</t>
        </is>
      </c>
      <c r="F124" s="14" t="inlineStr">
        <is>
          <t>Los Angeles</t>
        </is>
      </c>
      <c r="G124" s="14" t="inlineStr">
        <is>
          <t>CA</t>
        </is>
      </c>
      <c r="H124" s="47" t="n">
        <v>366.83</v>
      </c>
      <c r="I124" s="14" t="inlineStr">
        <is>
          <t>Texting and phone calls</t>
        </is>
      </c>
      <c r="J124" s="14" t="inlineStr">
        <is>
          <t>2026-08-05</t>
        </is>
      </c>
    </row>
    <row r="125">
      <c r="A125" s="14" t="inlineStr">
        <is>
          <t>Indigo PAC</t>
        </is>
      </c>
      <c r="B125" s="14" t="inlineStr">
        <is>
          <t>Ryan Mackenzie</t>
        </is>
      </c>
      <c r="C125" s="46" t="inlineStr">
        <is>
          <t>Opposes</t>
        </is>
      </c>
      <c r="D125" s="14" t="inlineStr">
        <is>
          <t>Digital Advertising</t>
        </is>
      </c>
      <c r="E125" s="14" t="inlineStr">
        <is>
          <t>Meta Platforms, Inc.</t>
        </is>
      </c>
      <c r="F125" s="14" t="inlineStr">
        <is>
          <t>Menlo Park</t>
        </is>
      </c>
      <c r="G125" s="14" t="inlineStr">
        <is>
          <t>CA</t>
        </is>
      </c>
      <c r="H125" s="47" t="n">
        <v>346</v>
      </c>
      <c r="I125" s="14" t="inlineStr">
        <is>
          <t>Digital advertising</t>
        </is>
      </c>
      <c r="J125" s="14" t="inlineStr">
        <is>
          <t>2025-10-20</t>
        </is>
      </c>
    </row>
    <row r="126">
      <c r="A126" s="14" t="inlineStr">
        <is>
          <t>Indigo PAC</t>
        </is>
      </c>
      <c r="B126" s="14" t="inlineStr">
        <is>
          <t>Ryan Mackenzie</t>
        </is>
      </c>
      <c r="C126" s="46" t="inlineStr">
        <is>
          <t>Opposes</t>
        </is>
      </c>
      <c r="D126" s="14" t="inlineStr">
        <is>
          <t>Digital Advertising</t>
        </is>
      </c>
      <c r="E126" s="14" t="inlineStr">
        <is>
          <t>Meta Platforms, Inc.</t>
        </is>
      </c>
      <c r="F126" s="14" t="inlineStr">
        <is>
          <t>Menlo Park</t>
        </is>
      </c>
      <c r="G126" s="14" t="inlineStr">
        <is>
          <t>CA</t>
        </is>
      </c>
      <c r="H126" s="47" t="n">
        <v>304.22</v>
      </c>
      <c r="I126" s="14" t="inlineStr">
        <is>
          <t>Digital advertising</t>
        </is>
      </c>
      <c r="J126" s="14" t="inlineStr">
        <is>
          <t>2025-11-03</t>
        </is>
      </c>
    </row>
    <row r="127">
      <c r="A127" s="14" t="inlineStr">
        <is>
          <t>Indigo PAC</t>
        </is>
      </c>
      <c r="B127" s="14" t="inlineStr">
        <is>
          <t>Ryan Mackenzie</t>
        </is>
      </c>
      <c r="C127" s="46" t="inlineStr">
        <is>
          <t>Opposes</t>
        </is>
      </c>
      <c r="D127" s="14" t="inlineStr">
        <is>
          <t>Digital Advertising</t>
        </is>
      </c>
      <c r="E127" s="14" t="inlineStr">
        <is>
          <t>Meta Platforms, Inc.</t>
        </is>
      </c>
      <c r="F127" s="14" t="inlineStr">
        <is>
          <t>Menlo Park</t>
        </is>
      </c>
      <c r="G127" s="14" t="inlineStr">
        <is>
          <t>CA</t>
        </is>
      </c>
      <c r="H127" s="47" t="n">
        <v>284</v>
      </c>
      <c r="I127" s="14" t="inlineStr">
        <is>
          <t>Digital advertising</t>
        </is>
      </c>
      <c r="J127" s="14" t="inlineStr">
        <is>
          <t>2025-10-14</t>
        </is>
      </c>
    </row>
    <row r="128">
      <c r="A128" s="14" t="inlineStr">
        <is>
          <t>Activate America</t>
        </is>
      </c>
      <c r="B128" s="14" t="inlineStr">
        <is>
          <t>Ryan Mackenzie</t>
        </is>
      </c>
      <c r="C128" s="46" t="inlineStr">
        <is>
          <t>Opposes</t>
        </is>
      </c>
      <c r="D128" s="14" t="inlineStr">
        <is>
          <t>Text Bank</t>
        </is>
      </c>
      <c r="E128" s="14" t="inlineStr">
        <is>
          <t>Scale to Win</t>
        </is>
      </c>
      <c r="F128" s="14" t="inlineStr">
        <is>
          <t>Santa Ana</t>
        </is>
      </c>
      <c r="G128" s="14" t="inlineStr">
        <is>
          <t>CA</t>
        </is>
      </c>
      <c r="H128" s="47" t="n">
        <v>250.82</v>
      </c>
      <c r="I128" s="14" t="inlineStr">
        <is>
          <t>Texting and phone calls</t>
        </is>
      </c>
      <c r="J128" s="14" t="inlineStr">
        <is>
          <t>2025-05-16</t>
        </is>
      </c>
    </row>
    <row r="129">
      <c r="A129" s="14" t="inlineStr">
        <is>
          <t>Indigo PAC</t>
        </is>
      </c>
      <c r="B129" s="14" t="inlineStr">
        <is>
          <t>Ryan Mackenzie</t>
        </is>
      </c>
      <c r="C129" s="46" t="inlineStr">
        <is>
          <t>Opposes</t>
        </is>
      </c>
      <c r="D129" s="14" t="inlineStr">
        <is>
          <t>Digital Advertising</t>
        </is>
      </c>
      <c r="E129" s="14" t="inlineStr">
        <is>
          <t>Meta Platforms, Inc.</t>
        </is>
      </c>
      <c r="F129" s="14" t="inlineStr">
        <is>
          <t>Menlo Park</t>
        </is>
      </c>
      <c r="G129" s="14" t="inlineStr">
        <is>
          <t>CA</t>
        </is>
      </c>
      <c r="H129" s="47" t="n">
        <v>243</v>
      </c>
      <c r="I129" s="14" t="inlineStr">
        <is>
          <t>Digital advertising</t>
        </is>
      </c>
      <c r="J129" s="14" t="inlineStr">
        <is>
          <t>2025-10-07</t>
        </is>
      </c>
    </row>
    <row r="130">
      <c r="A130" s="14" t="inlineStr">
        <is>
          <t>Field Team 6, Inc.</t>
        </is>
      </c>
      <c r="B130" s="14" t="inlineStr">
        <is>
          <t>Ryan Mackenzie</t>
        </is>
      </c>
      <c r="C130" s="46" t="inlineStr">
        <is>
          <t>Opposes</t>
        </is>
      </c>
      <c r="D130" s="14" t="inlineStr">
        <is>
          <t>Sms Texting</t>
        </is>
      </c>
      <c r="E130" s="14" t="inlineStr">
        <is>
          <t>Momentous Outreach Inc</t>
        </is>
      </c>
      <c r="F130" s="14" t="inlineStr">
        <is>
          <t>Los Angeles</t>
        </is>
      </c>
      <c r="G130" s="14" t="inlineStr">
        <is>
          <t>CA</t>
        </is>
      </c>
      <c r="H130" s="47" t="n">
        <v>236.81</v>
      </c>
      <c r="I130" s="14" t="inlineStr">
        <is>
          <t>Texting and phone calls</t>
        </is>
      </c>
      <c r="J130" s="14" t="inlineStr">
        <is>
          <t>2026-02-04</t>
        </is>
      </c>
    </row>
    <row r="131">
      <c r="A131" s="14" t="inlineStr">
        <is>
          <t>SEIU Cope (service Employees International Union Committee on Political Education)</t>
        </is>
      </c>
      <c r="B131" s="14" t="inlineStr">
        <is>
          <t>Bob Brooks</t>
        </is>
      </c>
      <c r="C131" s="46" t="inlineStr">
        <is>
          <t>Supports</t>
        </is>
      </c>
      <c r="D131" s="14" t="inlineStr">
        <is>
          <t>Payment for Texting As Disclosed on 6/20 Monthly Report</t>
        </is>
      </c>
      <c r="E131" s="14" t="inlineStr">
        <is>
          <t>Scale to Win</t>
        </is>
      </c>
      <c r="F131" s="14" t="inlineStr">
        <is>
          <t>Santa Ana</t>
        </is>
      </c>
      <c r="G131" s="14" t="inlineStr">
        <is>
          <t>CA</t>
        </is>
      </c>
      <c r="H131" s="47" t="n">
        <v>231.9</v>
      </c>
      <c r="I131" s="14" t="inlineStr">
        <is>
          <t>Texting and phone calls</t>
        </is>
      </c>
      <c r="J131" s="14" t="inlineStr">
        <is>
          <t>2026-08-13</t>
        </is>
      </c>
    </row>
    <row r="132">
      <c r="A132" s="14" t="inlineStr">
        <is>
          <t>Seniors Empowering an Effective Democracy (SEED-PAC)</t>
        </is>
      </c>
      <c r="B132" s="14" t="inlineStr">
        <is>
          <t>Bob Brooks</t>
        </is>
      </c>
      <c r="C132" s="46" t="inlineStr">
        <is>
          <t>Supports</t>
        </is>
      </c>
      <c r="D132" s="14" t="inlineStr">
        <is>
          <t>Ad Facebook</t>
        </is>
      </c>
      <c r="E132" s="14" t="inlineStr">
        <is>
          <t>Purplegator</t>
        </is>
      </c>
      <c r="F132" s="14" t="inlineStr">
        <is>
          <t>Wayne</t>
        </is>
      </c>
      <c r="G132" s="14" t="inlineStr">
        <is>
          <t>PA</t>
        </is>
      </c>
      <c r="H132" s="47" t="n">
        <v>200</v>
      </c>
      <c r="I132" s="14" t="inlineStr">
        <is>
          <t>Digital advertising</t>
        </is>
      </c>
      <c r="J132" s="14" t="inlineStr">
        <is>
          <t>2026-09-21</t>
        </is>
      </c>
    </row>
    <row r="133">
      <c r="A133" s="14" t="inlineStr">
        <is>
          <t>Indigo PAC</t>
        </is>
      </c>
      <c r="B133" s="14" t="inlineStr">
        <is>
          <t>Ryan Mackenzie</t>
        </is>
      </c>
      <c r="C133" s="46" t="inlineStr">
        <is>
          <t>Opposes</t>
        </is>
      </c>
      <c r="D133" s="14" t="inlineStr">
        <is>
          <t>Digital Advertising</t>
        </is>
      </c>
      <c r="E133" s="14" t="inlineStr">
        <is>
          <t>Meta Platforms, Inc.</t>
        </is>
      </c>
      <c r="F133" s="14" t="inlineStr">
        <is>
          <t>Menlo Park</t>
        </is>
      </c>
      <c r="G133" s="14" t="inlineStr">
        <is>
          <t>CA</t>
        </is>
      </c>
      <c r="H133" s="47" t="n">
        <v>194.64</v>
      </c>
      <c r="I133" s="14" t="inlineStr">
        <is>
          <t>Digital advertising</t>
        </is>
      </c>
      <c r="J133" s="14" t="inlineStr">
        <is>
          <t>2025-10-27</t>
        </is>
      </c>
    </row>
    <row r="134">
      <c r="A134" s="14" t="inlineStr">
        <is>
          <t>SURJ PAC</t>
        </is>
      </c>
      <c r="B134" s="14" t="inlineStr">
        <is>
          <t>Bob Brooks</t>
        </is>
      </c>
      <c r="C134" s="46" t="inlineStr">
        <is>
          <t>Supports</t>
        </is>
      </c>
      <c r="D134" s="14" t="inlineStr">
        <is>
          <t>Staff Time: Phone Banking - Non-contribution Account</t>
        </is>
      </c>
      <c r="E134" s="14" t="inlineStr">
        <is>
          <t>Showing Up for Racial Justice Inc.</t>
        </is>
      </c>
      <c r="F134" s="14" t="inlineStr">
        <is>
          <t>Atlanta</t>
        </is>
      </c>
      <c r="G134" s="14" t="inlineStr">
        <is>
          <t>GA</t>
        </is>
      </c>
      <c r="H134" s="47" t="n">
        <v>187.51</v>
      </c>
      <c r="I134" s="14" t="inlineStr">
        <is>
          <t>Texting and phone calls</t>
        </is>
      </c>
      <c r="J134" s="14" t="inlineStr">
        <is>
          <t>2026-05-29</t>
        </is>
      </c>
    </row>
    <row r="135">
      <c r="A135" s="14" t="inlineStr">
        <is>
          <t>Rural Freedom Network</t>
        </is>
      </c>
      <c r="B135" s="14" t="inlineStr">
        <is>
          <t>Bob Brooks</t>
        </is>
      </c>
      <c r="C135" s="46" t="inlineStr">
        <is>
          <t>Supports</t>
        </is>
      </c>
      <c r="D135" s="14" t="inlineStr">
        <is>
          <t>Printing</t>
        </is>
      </c>
      <c r="E135" s="14" t="inlineStr">
        <is>
          <t>Zippityprint</t>
        </is>
      </c>
      <c r="F135" s="14" t="inlineStr">
        <is>
          <t>Cleveland</t>
        </is>
      </c>
      <c r="G135" s="14" t="inlineStr">
        <is>
          <t>OH</t>
        </is>
      </c>
      <c r="H135" s="47" t="n">
        <v>157.07</v>
      </c>
      <c r="I135" s="14" t="inlineStr">
        <is>
          <t>Mail and print</t>
        </is>
      </c>
      <c r="J135" s="14" t="inlineStr">
        <is>
          <t>2026-06-18</t>
        </is>
      </c>
    </row>
    <row r="136">
      <c r="A136" s="14" t="inlineStr">
        <is>
          <t>Indigo PAC</t>
        </is>
      </c>
      <c r="B136" s="14" t="inlineStr">
        <is>
          <t>Ryan Mackenzie</t>
        </is>
      </c>
      <c r="C136" s="46" t="inlineStr">
        <is>
          <t>Opposes</t>
        </is>
      </c>
      <c r="D136" s="14" t="inlineStr">
        <is>
          <t>Digital Advertising</t>
        </is>
      </c>
      <c r="E136" s="14" t="inlineStr">
        <is>
          <t>Meta Platforms, Inc.</t>
        </is>
      </c>
      <c r="F136" s="14" t="inlineStr">
        <is>
          <t>Menlo Park</t>
        </is>
      </c>
      <c r="G136" s="14" t="inlineStr">
        <is>
          <t>CA</t>
        </is>
      </c>
      <c r="H136" s="47" t="n">
        <v>156</v>
      </c>
      <c r="I136" s="14" t="inlineStr">
        <is>
          <t>Digital advertising</t>
        </is>
      </c>
      <c r="J136" s="14" t="inlineStr">
        <is>
          <t>2025-09-29</t>
        </is>
      </c>
    </row>
    <row r="137">
      <c r="A137" s="14" t="inlineStr">
        <is>
          <t>Rural Freedom Network</t>
        </is>
      </c>
      <c r="B137" s="14" t="inlineStr">
        <is>
          <t>Bob Brooks</t>
        </is>
      </c>
      <c r="C137" s="46" t="inlineStr">
        <is>
          <t>Supports</t>
        </is>
      </c>
      <c r="D137" s="14" t="inlineStr">
        <is>
          <t>Printing</t>
        </is>
      </c>
      <c r="E137" s="14" t="inlineStr">
        <is>
          <t>Zippityprint</t>
        </is>
      </c>
      <c r="F137" s="14" t="inlineStr">
        <is>
          <t>Cleveland</t>
        </is>
      </c>
      <c r="G137" s="14" t="inlineStr">
        <is>
          <t>OH</t>
        </is>
      </c>
      <c r="H137" s="47" t="n">
        <v>151.88</v>
      </c>
      <c r="I137" s="14" t="inlineStr">
        <is>
          <t>Mail and print</t>
        </is>
      </c>
      <c r="J137" s="14" t="inlineStr">
        <is>
          <t>2026-07-13</t>
        </is>
      </c>
    </row>
    <row r="138">
      <c r="A138" s="14" t="inlineStr">
        <is>
          <t>Indigo PAC</t>
        </is>
      </c>
      <c r="B138" s="14" t="inlineStr">
        <is>
          <t>Ryan Mackenzie</t>
        </is>
      </c>
      <c r="C138" s="46" t="inlineStr">
        <is>
          <t>Opposes</t>
        </is>
      </c>
      <c r="D138" s="14" t="inlineStr">
        <is>
          <t>Digital Advertising</t>
        </is>
      </c>
      <c r="E138" s="14" t="inlineStr">
        <is>
          <t>Meta Platforms, Inc.</t>
        </is>
      </c>
      <c r="F138" s="14" t="inlineStr">
        <is>
          <t>Menlo Park</t>
        </is>
      </c>
      <c r="G138" s="14" t="inlineStr">
        <is>
          <t>CA</t>
        </is>
      </c>
      <c r="H138" s="47" t="n">
        <v>137.49</v>
      </c>
      <c r="I138" s="14" t="inlineStr">
        <is>
          <t>Digital advertising</t>
        </is>
      </c>
      <c r="J138" s="14" t="inlineStr">
        <is>
          <t>2025-09-29</t>
        </is>
      </c>
    </row>
    <row r="139">
      <c r="A139" s="14" t="inlineStr">
        <is>
          <t>Field Team 6, Inc.</t>
        </is>
      </c>
      <c r="B139" s="14" t="inlineStr">
        <is>
          <t>Bob Brooks</t>
        </is>
      </c>
      <c r="C139" s="46" t="inlineStr">
        <is>
          <t>Supports</t>
        </is>
      </c>
      <c r="D139" s="14" t="inlineStr">
        <is>
          <t>Email Services</t>
        </is>
      </c>
      <c r="E139" s="14" t="inlineStr">
        <is>
          <t>Momentous Outreach Inc</t>
        </is>
      </c>
      <c r="F139" s="14" t="inlineStr">
        <is>
          <t>Los Angeles</t>
        </is>
      </c>
      <c r="G139" s="14" t="inlineStr">
        <is>
          <t>CA</t>
        </is>
      </c>
      <c r="H139" s="47" t="n">
        <v>125.76</v>
      </c>
      <c r="I139" s="14" t="inlineStr">
        <is>
          <t>Email</t>
        </is>
      </c>
      <c r="J139" s="14" t="inlineStr">
        <is>
          <t>2026-08-05</t>
        </is>
      </c>
    </row>
    <row r="140">
      <c r="A140" s="14" t="inlineStr">
        <is>
          <t>Activate America</t>
        </is>
      </c>
      <c r="B140" s="14" t="inlineStr">
        <is>
          <t>Ryan Mackenzie</t>
        </is>
      </c>
      <c r="C140" s="46" t="inlineStr">
        <is>
          <t>Opposes</t>
        </is>
      </c>
      <c r="D140" s="14" t="inlineStr">
        <is>
          <t>Text Bank</t>
        </is>
      </c>
      <c r="E140" s="14" t="inlineStr">
        <is>
          <t>Scale to Win</t>
        </is>
      </c>
      <c r="F140" s="14" t="inlineStr">
        <is>
          <t>Santa Ana</t>
        </is>
      </c>
      <c r="G140" s="14" t="inlineStr">
        <is>
          <t>CA</t>
        </is>
      </c>
      <c r="H140" s="47" t="n">
        <v>124.9</v>
      </c>
      <c r="I140" s="14" t="inlineStr">
        <is>
          <t>Texting and phone calls</t>
        </is>
      </c>
      <c r="J140" s="14" t="inlineStr">
        <is>
          <t>2025-06-12</t>
        </is>
      </c>
    </row>
    <row r="141">
      <c r="A141" s="14" t="inlineStr">
        <is>
          <t>Blue Majority Makers PAC</t>
        </is>
      </c>
      <c r="B141" s="14" t="inlineStr">
        <is>
          <t>Bob Brooks</t>
        </is>
      </c>
      <c r="C141" s="46" t="inlineStr">
        <is>
          <t>Supports</t>
        </is>
      </c>
      <c r="D141" s="14" t="inlineStr">
        <is>
          <t>Text Messages</t>
        </is>
      </c>
      <c r="E141" s="14" t="inlineStr">
        <is>
          <t>Activate Change LLC</t>
        </is>
      </c>
      <c r="F141" s="14" t="inlineStr">
        <is>
          <t>Dover</t>
        </is>
      </c>
      <c r="G141" s="14" t="inlineStr">
        <is>
          <t>DE</t>
        </is>
      </c>
      <c r="H141" s="47" t="n">
        <v>100</v>
      </c>
      <c r="I141" s="14" t="inlineStr">
        <is>
          <t>Texting and phone calls</t>
        </is>
      </c>
      <c r="J141" s="14" t="inlineStr">
        <is>
          <t>2026-06-22</t>
        </is>
      </c>
    </row>
    <row r="142">
      <c r="A142" s="14" t="inlineStr">
        <is>
          <t>Activate America</t>
        </is>
      </c>
      <c r="B142" s="14" t="inlineStr">
        <is>
          <t>Ryan Mackenzie</t>
        </is>
      </c>
      <c r="C142" s="46" t="inlineStr">
        <is>
          <t>Opposes</t>
        </is>
      </c>
      <c r="D142" s="14" t="inlineStr">
        <is>
          <t>Phone Bank</t>
        </is>
      </c>
      <c r="E142" s="14" t="inlineStr">
        <is>
          <t>Scale to Win</t>
        </is>
      </c>
      <c r="F142" s="14" t="inlineStr">
        <is>
          <t>Santa Ana</t>
        </is>
      </c>
      <c r="G142" s="14" t="inlineStr">
        <is>
          <t>CA</t>
        </is>
      </c>
      <c r="H142" s="47" t="n">
        <v>96.45</v>
      </c>
      <c r="I142" s="14" t="inlineStr">
        <is>
          <t>Texting and phone calls</t>
        </is>
      </c>
      <c r="J142" s="14" t="inlineStr">
        <is>
          <t>2025-04-24</t>
        </is>
      </c>
    </row>
    <row r="143">
      <c r="A143" s="14" t="inlineStr">
        <is>
          <t>Field Team 6, Inc.</t>
        </is>
      </c>
      <c r="B143" s="14" t="inlineStr">
        <is>
          <t>Bob Brooks</t>
        </is>
      </c>
      <c r="C143" s="46" t="inlineStr">
        <is>
          <t>Supports</t>
        </is>
      </c>
      <c r="D143" s="14" t="inlineStr">
        <is>
          <t>Email Services</t>
        </is>
      </c>
      <c r="E143" s="14" t="inlineStr">
        <is>
          <t>Momentous Outreach Inc</t>
        </is>
      </c>
      <c r="F143" s="14" t="inlineStr">
        <is>
          <t>Los Angeles</t>
        </is>
      </c>
      <c r="G143" s="14" t="inlineStr">
        <is>
          <t>CA</t>
        </is>
      </c>
      <c r="H143" s="47" t="n">
        <v>90.5</v>
      </c>
      <c r="I143" s="14" t="inlineStr">
        <is>
          <t>Email</t>
        </is>
      </c>
      <c r="J143" s="14" t="inlineStr">
        <is>
          <t>2026-09-01</t>
        </is>
      </c>
    </row>
    <row r="144">
      <c r="A144" s="14" t="inlineStr">
        <is>
          <t>Planned Parenthood Votes</t>
        </is>
      </c>
      <c r="B144" s="14" t="inlineStr">
        <is>
          <t>Ryan Mackenzie</t>
        </is>
      </c>
      <c r="C144" s="46" t="inlineStr">
        <is>
          <t>Opposes</t>
        </is>
      </c>
      <c r="D144" s="14" t="inlineStr">
        <is>
          <t>Staff Time for Voter Communications</t>
        </is>
      </c>
      <c r="E144" s="14" t="inlineStr">
        <is>
          <t>Planned Parenthood Action Fund, Inc.</t>
        </is>
      </c>
      <c r="F144" s="14" t="inlineStr">
        <is>
          <t>New York</t>
        </is>
      </c>
      <c r="G144" s="14" t="inlineStr">
        <is>
          <t>NY</t>
        </is>
      </c>
      <c r="H144" s="47" t="n">
        <v>85.38</v>
      </c>
      <c r="I144" s="14" t="inlineStr">
        <is>
          <t>Canvassing and field</t>
        </is>
      </c>
      <c r="J144" s="14" t="inlineStr">
        <is>
          <t>2026-06-28</t>
        </is>
      </c>
    </row>
    <row r="145">
      <c r="A145" s="14" t="inlineStr">
        <is>
          <t>Indigo PAC</t>
        </is>
      </c>
      <c r="B145" s="14" t="inlineStr">
        <is>
          <t>Ryan Mackenzie</t>
        </is>
      </c>
      <c r="C145" s="46" t="inlineStr">
        <is>
          <t>Opposes</t>
        </is>
      </c>
      <c r="D145" s="14" t="inlineStr">
        <is>
          <t>Digital Advertising</t>
        </is>
      </c>
      <c r="E145" s="14" t="inlineStr">
        <is>
          <t>Meta Platforms, Inc.</t>
        </is>
      </c>
      <c r="F145" s="14" t="inlineStr">
        <is>
          <t>Menlo Park</t>
        </is>
      </c>
      <c r="G145" s="14" t="inlineStr">
        <is>
          <t>CA</t>
        </is>
      </c>
      <c r="H145" s="47" t="n">
        <v>76.42</v>
      </c>
      <c r="I145" s="14" t="inlineStr">
        <is>
          <t>Digital advertising</t>
        </is>
      </c>
      <c r="J145" s="14" t="inlineStr">
        <is>
          <t>2025-09-29</t>
        </is>
      </c>
    </row>
    <row r="146">
      <c r="A146" s="14" t="inlineStr">
        <is>
          <t>Planned Parenthood Votes</t>
        </is>
      </c>
      <c r="B146" s="14" t="inlineStr">
        <is>
          <t>Ryan Mackenzie</t>
        </is>
      </c>
      <c r="C146" s="46" t="inlineStr">
        <is>
          <t>Opposes</t>
        </is>
      </c>
      <c r="D146" s="14" t="inlineStr">
        <is>
          <t>Estimated Cost of Staff Time for Voter Communications</t>
        </is>
      </c>
      <c r="E146" s="14" t="inlineStr">
        <is>
          <t>Planned Parenthood Action Fund, Inc.</t>
        </is>
      </c>
      <c r="F146" s="14" t="inlineStr">
        <is>
          <t>New York</t>
        </is>
      </c>
      <c r="G146" s="14" t="inlineStr">
        <is>
          <t>NY</t>
        </is>
      </c>
      <c r="H146" s="47" t="n">
        <v>71.43000000000001</v>
      </c>
      <c r="I146" s="14" t="inlineStr">
        <is>
          <t>Canvassing and field</t>
        </is>
      </c>
      <c r="J146" s="14" t="inlineStr">
        <is>
          <t>2026-05-19</t>
        </is>
      </c>
    </row>
    <row r="147">
      <c r="A147" s="14" t="inlineStr">
        <is>
          <t>Blue Democracy Network</t>
        </is>
      </c>
      <c r="B147" s="14" t="inlineStr">
        <is>
          <t>Bob Brooks</t>
        </is>
      </c>
      <c r="C147" s="46" t="inlineStr">
        <is>
          <t>Supports</t>
        </is>
      </c>
      <c r="D147" s="14" t="inlineStr">
        <is>
          <t>Text Messages</t>
        </is>
      </c>
      <c r="E147" s="14" t="inlineStr">
        <is>
          <t>Activate Change LLC</t>
        </is>
      </c>
      <c r="F147" s="14" t="inlineStr">
        <is>
          <t>Dover</t>
        </is>
      </c>
      <c r="G147" s="14" t="inlineStr">
        <is>
          <t>DE</t>
        </is>
      </c>
      <c r="H147" s="47" t="n">
        <v>62.5</v>
      </c>
      <c r="I147" s="14" t="inlineStr">
        <is>
          <t>Texting and phone calls</t>
        </is>
      </c>
      <c r="J147" s="14" t="inlineStr">
        <is>
          <t>2026-04-20</t>
        </is>
      </c>
    </row>
    <row r="148">
      <c r="A148" s="14" t="inlineStr">
        <is>
          <t>Indigo PAC</t>
        </is>
      </c>
      <c r="B148" s="14" t="inlineStr">
        <is>
          <t>Ryan Mackenzie</t>
        </is>
      </c>
      <c r="C148" s="46" t="inlineStr">
        <is>
          <t>Opposes</t>
        </is>
      </c>
      <c r="D148" s="14" t="inlineStr">
        <is>
          <t>Digital Advertising</t>
        </is>
      </c>
      <c r="E148" s="14" t="inlineStr">
        <is>
          <t>Meta Platforms, Inc.</t>
        </is>
      </c>
      <c r="F148" s="14" t="inlineStr">
        <is>
          <t>Menlo Park</t>
        </is>
      </c>
      <c r="G148" s="14" t="inlineStr">
        <is>
          <t>CA</t>
        </is>
      </c>
      <c r="H148" s="47" t="n">
        <v>55</v>
      </c>
      <c r="I148" s="14" t="inlineStr">
        <is>
          <t>Digital advertising</t>
        </is>
      </c>
      <c r="J148" s="14" t="inlineStr">
        <is>
          <t>2025-09-15</t>
        </is>
      </c>
    </row>
    <row r="149">
      <c r="A149" s="14" t="inlineStr">
        <is>
          <t>The People United PAC</t>
        </is>
      </c>
      <c r="B149" s="14" t="inlineStr">
        <is>
          <t>Bob Brooks</t>
        </is>
      </c>
      <c r="C149" s="46" t="inlineStr">
        <is>
          <t>Supports</t>
        </is>
      </c>
      <c r="D149" s="14" t="inlineStr">
        <is>
          <t>Fundraising Email</t>
        </is>
      </c>
      <c r="E149" s="14" t="inlineStr">
        <is>
          <t>Strategy &amp; Hustle L.l.c.</t>
        </is>
      </c>
      <c r="F149" s="14" t="inlineStr">
        <is>
          <t>Washington</t>
        </is>
      </c>
      <c r="G149" s="14" t="inlineStr">
        <is>
          <t>DC</t>
        </is>
      </c>
      <c r="H149" s="47" t="n">
        <v>50</v>
      </c>
      <c r="I149" s="14" t="inlineStr">
        <is>
          <t>Email</t>
        </is>
      </c>
      <c r="J149" s="14" t="inlineStr">
        <is>
          <t>2026-05-21</t>
        </is>
      </c>
    </row>
    <row r="150">
      <c r="A150" s="14" t="inlineStr">
        <is>
          <t>Planned Parenthood Votes</t>
        </is>
      </c>
      <c r="B150" s="14" t="inlineStr">
        <is>
          <t>Ryan Mackenzie</t>
        </is>
      </c>
      <c r="C150" s="46" t="inlineStr">
        <is>
          <t>Opposes</t>
        </is>
      </c>
      <c r="D150" s="14" t="inlineStr">
        <is>
          <t>Staff Time for Voter Communications</t>
        </is>
      </c>
      <c r="E150" s="14" t="inlineStr">
        <is>
          <t>Planned Parenthood Action Fund, Inc.</t>
        </is>
      </c>
      <c r="F150" s="14" t="inlineStr">
        <is>
          <t>New York</t>
        </is>
      </c>
      <c r="G150" s="14" t="inlineStr">
        <is>
          <t>NY</t>
        </is>
      </c>
      <c r="H150" s="47" t="n">
        <v>40.38</v>
      </c>
      <c r="I150" s="14" t="inlineStr">
        <is>
          <t>Canvassing and field</t>
        </is>
      </c>
      <c r="J150" s="14" t="inlineStr">
        <is>
          <t>2026-07-19</t>
        </is>
      </c>
    </row>
    <row r="151">
      <c r="A151" s="14" t="inlineStr">
        <is>
          <t>Indigo PAC</t>
        </is>
      </c>
      <c r="B151" s="14" t="inlineStr">
        <is>
          <t>Ryan Mackenzie</t>
        </is>
      </c>
      <c r="C151" s="46" t="inlineStr">
        <is>
          <t>Opposes</t>
        </is>
      </c>
      <c r="D151" s="14" t="inlineStr">
        <is>
          <t>Digital Advertising</t>
        </is>
      </c>
      <c r="E151" s="14" t="inlineStr">
        <is>
          <t>Meta Platforms, Inc.</t>
        </is>
      </c>
      <c r="F151" s="14" t="inlineStr">
        <is>
          <t>Menlo Park</t>
        </is>
      </c>
      <c r="G151" s="14" t="inlineStr">
        <is>
          <t>CA</t>
        </is>
      </c>
      <c r="H151" s="47" t="n">
        <v>39</v>
      </c>
      <c r="I151" s="14" t="inlineStr">
        <is>
          <t>Digital advertising</t>
        </is>
      </c>
      <c r="J151" s="14" t="inlineStr">
        <is>
          <t>2025-09-11</t>
        </is>
      </c>
    </row>
    <row r="152">
      <c r="A152" s="14" t="inlineStr">
        <is>
          <t>Field Team 6, Inc.</t>
        </is>
      </c>
      <c r="B152" s="14" t="inlineStr">
        <is>
          <t>Bob Brooks</t>
        </is>
      </c>
      <c r="C152" s="46" t="inlineStr">
        <is>
          <t>Supports</t>
        </is>
      </c>
      <c r="D152" s="14" t="inlineStr">
        <is>
          <t>Email Services</t>
        </is>
      </c>
      <c r="E152" s="14" t="inlineStr">
        <is>
          <t>Momentous Outreach Inc</t>
        </is>
      </c>
      <c r="F152" s="14" t="inlineStr">
        <is>
          <t>Los Angeles</t>
        </is>
      </c>
      <c r="G152" s="14" t="inlineStr">
        <is>
          <t>CA</t>
        </is>
      </c>
      <c r="H152" s="47" t="n">
        <v>38.88</v>
      </c>
      <c r="I152" s="14" t="inlineStr">
        <is>
          <t>Email</t>
        </is>
      </c>
      <c r="J152" s="14" t="inlineStr">
        <is>
          <t>2026-09-30</t>
        </is>
      </c>
    </row>
    <row r="153">
      <c r="A153" s="14" t="inlineStr">
        <is>
          <t>Field Team 6, Inc.</t>
        </is>
      </c>
      <c r="B153" s="14" t="inlineStr">
        <is>
          <t>Bob Brooks</t>
        </is>
      </c>
      <c r="C153" s="46" t="inlineStr">
        <is>
          <t>Supports</t>
        </is>
      </c>
      <c r="D153" s="14" t="inlineStr">
        <is>
          <t>Email Services</t>
        </is>
      </c>
      <c r="E153" s="14" t="inlineStr">
        <is>
          <t>Momentous Outreach Inc</t>
        </is>
      </c>
      <c r="F153" s="14" t="inlineStr">
        <is>
          <t>Los Angeles</t>
        </is>
      </c>
      <c r="G153" s="14" t="inlineStr">
        <is>
          <t>CA</t>
        </is>
      </c>
      <c r="H153" s="47" t="n">
        <v>38.81</v>
      </c>
      <c r="I153" s="14" t="inlineStr">
        <is>
          <t>Email</t>
        </is>
      </c>
      <c r="J153" s="14" t="inlineStr">
        <is>
          <t>2026-09-30</t>
        </is>
      </c>
    </row>
    <row r="154">
      <c r="A154" s="14" t="inlineStr">
        <is>
          <t>Make the Road Action Political Committee</t>
        </is>
      </c>
      <c r="B154" s="14" t="inlineStr">
        <is>
          <t>Bob Brooks</t>
        </is>
      </c>
      <c r="C154" s="46" t="inlineStr">
        <is>
          <t>Supports</t>
        </is>
      </c>
      <c r="D154" s="14" t="inlineStr">
        <is>
          <t>Food for Canvassers</t>
        </is>
      </c>
      <c r="E154" s="14" t="inlineStr">
        <is>
          <t>Wing Stop</t>
        </is>
      </c>
      <c r="F154" s="14" t="inlineStr">
        <is>
          <t>Philadelphia</t>
        </is>
      </c>
      <c r="G154" s="14" t="inlineStr">
        <is>
          <t>PA</t>
        </is>
      </c>
      <c r="H154" s="47" t="n">
        <v>35.68</v>
      </c>
      <c r="I154" s="14" t="inlineStr">
        <is>
          <t>Canvassing and field</t>
        </is>
      </c>
      <c r="J154" s="14" t="inlineStr">
        <is>
          <t>2026-04-02</t>
        </is>
      </c>
    </row>
    <row r="155">
      <c r="A155" s="14" t="inlineStr">
        <is>
          <t>Givegreen United Action</t>
        </is>
      </c>
      <c r="B155" s="14" t="inlineStr">
        <is>
          <t>Bob Brooks</t>
        </is>
      </c>
      <c r="C155" s="46" t="inlineStr">
        <is>
          <t>Supports</t>
        </is>
      </c>
      <c r="D155" s="14" t="inlineStr">
        <is>
          <t>Email Messaging</t>
        </is>
      </c>
      <c r="E155" s="14" t="inlineStr">
        <is>
          <t>New Blue Interactive</t>
        </is>
      </c>
      <c r="F155" s="14" t="inlineStr">
        <is>
          <t>Bethesda</t>
        </is>
      </c>
      <c r="G155" s="14" t="inlineStr">
        <is>
          <t>MD</t>
        </is>
      </c>
      <c r="H155" s="47" t="n">
        <v>32</v>
      </c>
      <c r="I155" s="14" t="inlineStr">
        <is>
          <t>Email</t>
        </is>
      </c>
      <c r="J155" s="14" t="inlineStr">
        <is>
          <t>2026-06-25</t>
        </is>
      </c>
    </row>
    <row r="156">
      <c r="A156" s="14" t="inlineStr">
        <is>
          <t>Pennsylvania Pro-life Federation PAC</t>
        </is>
      </c>
      <c r="B156" s="14" t="inlineStr">
        <is>
          <t>Bob Brooks</t>
        </is>
      </c>
      <c r="C156" s="46" t="inlineStr">
        <is>
          <t>Opposes</t>
        </is>
      </c>
      <c r="D156" s="14" t="inlineStr">
        <is>
          <t>Postage for 2026 Fall General Election Voter's Guide</t>
        </is>
      </c>
      <c r="E156" s="14" t="inlineStr">
        <is>
          <t>Triangle Press</t>
        </is>
      </c>
      <c r="F156" s="14" t="inlineStr">
        <is>
          <t>Harrisburg</t>
        </is>
      </c>
      <c r="G156" s="14" t="inlineStr">
        <is>
          <t>PA</t>
        </is>
      </c>
      <c r="H156" s="47" t="n">
        <v>22.94</v>
      </c>
      <c r="I156" s="14" t="inlineStr">
        <is>
          <t>Mail and print</t>
        </is>
      </c>
      <c r="J156" s="14" t="inlineStr">
        <is>
          <t>2026-09-22</t>
        </is>
      </c>
    </row>
    <row r="157">
      <c r="A157" s="14" t="inlineStr">
        <is>
          <t>Pennsylvania Pro-life Federation PAC</t>
        </is>
      </c>
      <c r="B157" s="14" t="inlineStr">
        <is>
          <t>Ryan Mackenzie</t>
        </is>
      </c>
      <c r="C157" s="46" t="inlineStr">
        <is>
          <t>Supports</t>
        </is>
      </c>
      <c r="D157" s="14" t="inlineStr">
        <is>
          <t>Postage for 2026 Fall General Election Voter's Guide</t>
        </is>
      </c>
      <c r="E157" s="14" t="inlineStr">
        <is>
          <t>Triangle Press</t>
        </is>
      </c>
      <c r="F157" s="14" t="inlineStr">
        <is>
          <t>Harrisburg</t>
        </is>
      </c>
      <c r="G157" s="14" t="inlineStr">
        <is>
          <t>PA</t>
        </is>
      </c>
      <c r="H157" s="47" t="n">
        <v>22.94</v>
      </c>
      <c r="I157" s="14" t="inlineStr">
        <is>
          <t>Mail and print</t>
        </is>
      </c>
      <c r="J157" s="14" t="inlineStr">
        <is>
          <t>2026-09-22</t>
        </is>
      </c>
    </row>
    <row r="158">
      <c r="A158" s="14" t="inlineStr">
        <is>
          <t>Givegreen United Action</t>
        </is>
      </c>
      <c r="B158" s="14" t="inlineStr">
        <is>
          <t>Bob Brooks</t>
        </is>
      </c>
      <c r="C158" s="46" t="inlineStr">
        <is>
          <t>Supports</t>
        </is>
      </c>
      <c r="D158" s="14" t="inlineStr">
        <is>
          <t>Text Messaging</t>
        </is>
      </c>
      <c r="E158" s="14" t="inlineStr">
        <is>
          <t>New Blue Interactive</t>
        </is>
      </c>
      <c r="F158" s="14" t="inlineStr">
        <is>
          <t>Bethesda</t>
        </is>
      </c>
      <c r="G158" s="14" t="inlineStr">
        <is>
          <t>MD</t>
        </is>
      </c>
      <c r="H158" s="47" t="n">
        <v>4.54</v>
      </c>
      <c r="I158" s="14" t="inlineStr">
        <is>
          <t>Texting and phone calls</t>
        </is>
      </c>
      <c r="J158" s="14" t="inlineStr">
        <is>
          <t>2026-06-25</t>
        </is>
      </c>
    </row>
    <row r="159">
      <c r="A159" s="15" t="inlineStr">
        <is>
          <t>TOTAL</t>
        </is>
      </c>
      <c r="B159" s="20" t="n"/>
      <c r="C159" s="20" t="n"/>
      <c r="D159" s="20" t="n"/>
      <c r="E159" s="20" t="n"/>
      <c r="F159" s="20" t="n"/>
      <c r="G159" s="20" t="n"/>
      <c r="H159" s="48">
        <f>SUM(H21:H158)</f>
        <v/>
      </c>
      <c r="I159" s="20" t="n"/>
      <c r="J159" s="20" t="n"/>
    </row>
    <row r="160">
      <c r="A160" s="40" t="inlineStr">
        <is>
          <t>Check: itemized total minus the by-candidate aggregate on Outside Money (must be $0)</t>
        </is>
      </c>
      <c r="H160" s="41">
        <f>H159-'Outside Money'!D44</f>
        <v/>
      </c>
    </row>
  </sheetData>
  <pageMargins left="0.75" right="0.75" top="1" bottom="1" header="0.5" footer="0.5"/>
</worksheet>
</file>

<file path=xl/worksheets/sheet10.xml><?xml version="1.0" encoding="utf-8"?>
<worksheet xmlns="http://schemas.openxmlformats.org/spreadsheetml/2006/main">
  <sheetPr>
    <tabColor rgb="001F3864"/>
    <outlinePr summaryBelow="1" summaryRight="1"/>
    <pageSetUpPr/>
  </sheetPr>
  <dimension ref="A1:S31"/>
  <sheetViews>
    <sheetView workbookViewId="0">
      <pane xSplit="3" ySplit="5" topLeftCell="D6" activePane="bottomRight" state="frozen"/>
      <selection pane="topRight"/>
      <selection pane="bottomLeft"/>
      <selection pane="bottomRight" activeCell="A1" sqref="A1"/>
    </sheetView>
  </sheetViews>
  <sheetFormatPr baseColWidth="8" defaultRowHeight="15"/>
  <cols>
    <col width="7" customWidth="1" min="1" max="1"/>
    <col width="12" customWidth="1" min="2" max="2"/>
    <col width="30" customWidth="1" min="3" max="3"/>
    <col width="17" customWidth="1" min="4" max="4"/>
    <col width="7" customWidth="1" min="5" max="5"/>
    <col width="10"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6" customWidth="1" min="14" max="14"/>
    <col width="12" customWidth="1" min="15" max="15"/>
    <col width="11" customWidth="1" min="16" max="16"/>
    <col width="8" customWidth="1" min="17" max="17"/>
    <col width="11" customWidth="1" min="18" max="18"/>
    <col width="12" customWidth="1" min="19" max="19"/>
  </cols>
  <sheetData>
    <row r="1">
      <c r="A1" s="1" t="inlineStr">
        <is>
          <t>PA-07 general elections, 2018 to 2024: finance and results</t>
        </is>
      </c>
    </row>
    <row r="2">
      <c r="A2" s="2" t="inlineStr">
        <is>
          <t>Final full-cycle FEC totals and certified vote totals. One row per nominee per election. Retrieved 2026-10-24T13:15:22Z.</t>
        </is>
      </c>
    </row>
    <row r="4" ht="18" customHeight="1">
      <c r="A4" s="3" t="inlineStr">
        <is>
          <t>GENERAL-ELECTION NOMINEES</t>
        </is>
      </c>
      <c r="B4" s="4" t="n"/>
      <c r="C4" s="4" t="n"/>
      <c r="D4" s="4" t="n"/>
      <c r="E4" s="4" t="n"/>
      <c r="F4" s="4" t="n"/>
      <c r="G4" s="4" t="n"/>
      <c r="H4" s="4" t="n"/>
      <c r="I4" s="4" t="n"/>
      <c r="J4" s="4" t="n"/>
      <c r="K4" s="4" t="n"/>
      <c r="L4" s="4" t="n"/>
      <c r="M4" s="4" t="n"/>
      <c r="N4" s="4" t="n"/>
      <c r="O4" s="4" t="n"/>
      <c r="P4" s="4" t="n"/>
      <c r="Q4" s="4" t="n"/>
      <c r="R4" s="4" t="n"/>
      <c r="S4" s="4" t="n"/>
    </row>
    <row r="5" ht="32" customHeight="1">
      <c r="A5" s="10" t="inlineStr">
        <is>
          <t>Cycle</t>
        </is>
      </c>
      <c r="B5" s="10" t="inlineStr">
        <is>
          <t>Election date</t>
        </is>
      </c>
      <c r="C5" s="10" t="inlineStr">
        <is>
          <t>District map</t>
        </is>
      </c>
      <c r="D5" s="10" t="inlineStr">
        <is>
          <t>Candidate</t>
        </is>
      </c>
      <c r="E5" s="10" t="inlineStr">
        <is>
          <t>Party</t>
        </is>
      </c>
      <c r="F5" s="10" t="inlineStr">
        <is>
          <t>Incumbent</t>
        </is>
      </c>
      <c r="G5" s="10" t="inlineStr">
        <is>
          <t>Receipts</t>
        </is>
      </c>
      <c r="H5" s="10" t="inlineStr">
        <is>
          <t>Disbursements</t>
        </is>
      </c>
      <c r="I5" s="10" t="inlineStr">
        <is>
          <t>Cash on hand at year end</t>
        </is>
      </c>
      <c r="J5" s="10" t="inlineStr">
        <is>
          <t>Individual contributions</t>
        </is>
      </c>
      <c r="K5" s="10" t="inlineStr">
        <is>
          <t>PAC contributions</t>
        </is>
      </c>
      <c r="L5" s="10" t="inlineStr">
        <is>
          <t>Outside spending supporting</t>
        </is>
      </c>
      <c r="M5" s="10" t="inlineStr">
        <is>
          <t>Outside spending opposing</t>
        </is>
      </c>
      <c r="N5" s="10" t="inlineStr">
        <is>
          <t>Candidate plus aligned outside money</t>
        </is>
      </c>
      <c r="O5" s="10" t="inlineStr">
        <is>
          <t>General votes</t>
        </is>
      </c>
      <c r="P5" s="10" t="inlineStr">
        <is>
          <t>Two-party vote share</t>
        </is>
      </c>
      <c r="Q5" s="10" t="inlineStr">
        <is>
          <t>Result</t>
        </is>
      </c>
      <c r="R5" s="10" t="inlineStr">
        <is>
          <t>Receipts per vote</t>
        </is>
      </c>
      <c r="S5" s="10" t="inlineStr">
        <is>
          <t>Aligned money per vote</t>
        </is>
      </c>
    </row>
    <row r="6">
      <c r="A6" s="55" t="n">
        <v>2018</v>
      </c>
      <c r="B6" s="55" t="inlineStr">
        <is>
          <t>2018-11-06</t>
        </is>
      </c>
      <c r="C6" s="56" t="inlineStr">
        <is>
          <t>2018 PA Supreme Court remap (Lehigh Valley: Lehigh, Northampton, s. Monroe)</t>
        </is>
      </c>
      <c r="D6" s="55" t="inlineStr">
        <is>
          <t>Susan Wild</t>
        </is>
      </c>
      <c r="E6" s="57" t="inlineStr">
        <is>
          <t>DEM</t>
        </is>
      </c>
      <c r="F6" s="58" t="inlineStr">
        <is>
          <t>no</t>
        </is>
      </c>
      <c r="G6" s="59" t="n">
        <v>3320188.01</v>
      </c>
      <c r="H6" s="59" t="n">
        <v>3294280.32</v>
      </c>
      <c r="I6" s="59" t="n">
        <v>25907.69</v>
      </c>
      <c r="J6" s="59" t="n">
        <v>2216364.61</v>
      </c>
      <c r="K6" s="59" t="n">
        <v>535757.8199999999</v>
      </c>
      <c r="L6" s="59" t="n">
        <v>558727.21</v>
      </c>
      <c r="M6" s="59" t="n">
        <v>221405.25</v>
      </c>
      <c r="N6" s="60">
        <f>IF(ISNUMBER(G6),G6+L6+SUMIFS($M$6:$M$13,$A$6:$A$13,$A6,$E$6:$E$13,"&lt;&gt;"&amp;$E6),"")</f>
        <v/>
      </c>
      <c r="O6" s="61" t="n">
        <v>140813</v>
      </c>
      <c r="P6" s="62">
        <f>IF(AND(ISNUMBER(O6),SUMIFS($O$6:$O$13,$A$6:$A$13,$A6)&lt;&gt;0),O6/SUMIFS($O$6:$O$13,$A$6:$A$13,$A6),"")</f>
        <v/>
      </c>
      <c r="Q6" s="63" t="inlineStr">
        <is>
          <t>won</t>
        </is>
      </c>
      <c r="R6" s="64">
        <f>IF(AND(ISNUMBER(G6),ISNUMBER(O6),O6&lt;&gt;0),G6/O6,"")</f>
        <v/>
      </c>
      <c r="S6" s="64">
        <f>IF(AND(ISNUMBER(N6),ISNUMBER(O6),O6&lt;&gt;0),N6/O6,"")</f>
        <v/>
      </c>
    </row>
    <row r="7">
      <c r="A7" s="51" t="n">
        <v>2018</v>
      </c>
      <c r="B7" s="51" t="inlineStr">
        <is>
          <t>2018-11-06</t>
        </is>
      </c>
      <c r="C7" s="65" t="inlineStr">
        <is>
          <t>2018 PA Supreme Court remap (Lehigh Valley: Lehigh, Northampton, s. Monroe)</t>
        </is>
      </c>
      <c r="D7" s="51" t="inlineStr">
        <is>
          <t>Marty Nothstein</t>
        </is>
      </c>
      <c r="E7" s="66" t="inlineStr">
        <is>
          <t>REP</t>
        </is>
      </c>
      <c r="F7" s="14" t="inlineStr">
        <is>
          <t>no</t>
        </is>
      </c>
      <c r="G7" s="44" t="n">
        <v>985643.72</v>
      </c>
      <c r="H7" s="44" t="n">
        <v>958873.74</v>
      </c>
      <c r="I7" s="44" t="n">
        <v>26769.98</v>
      </c>
      <c r="J7" s="44" t="n">
        <v>611185.92</v>
      </c>
      <c r="K7" s="44" t="n">
        <v>223856.6</v>
      </c>
      <c r="L7" s="44" t="n">
        <v>132142.37</v>
      </c>
      <c r="M7" s="44" t="n">
        <v>1722119.87</v>
      </c>
      <c r="N7" s="42">
        <f>IF(ISNUMBER(G7),G7+L7+SUMIFS($M$6:$M$13,$A$6:$A$13,$A7,$E$6:$E$13,"&lt;&gt;"&amp;$E7),"")</f>
        <v/>
      </c>
      <c r="O7" s="49" t="n">
        <v>114437</v>
      </c>
      <c r="P7" s="67">
        <f>IF(AND(ISNUMBER(O7),SUMIFS($O$6:$O$13,$A$6:$A$13,$A7)&lt;&gt;0),O7/SUMIFS($O$6:$O$13,$A$6:$A$13,$A7),"")</f>
        <v/>
      </c>
      <c r="Q7" s="68" t="inlineStr">
        <is>
          <t>lost</t>
        </is>
      </c>
      <c r="R7" s="69">
        <f>IF(AND(ISNUMBER(G7),ISNUMBER(O7),O7&lt;&gt;0),G7/O7,"")</f>
        <v/>
      </c>
      <c r="S7" s="69">
        <f>IF(AND(ISNUMBER(N7),ISNUMBER(O7),O7&lt;&gt;0),N7/O7,"")</f>
        <v/>
      </c>
    </row>
    <row r="8">
      <c r="A8" s="55" t="n">
        <v>2020</v>
      </c>
      <c r="B8" s="55" t="inlineStr">
        <is>
          <t>2020-11-03</t>
        </is>
      </c>
      <c r="C8" s="56" t="inlineStr">
        <is>
          <t>2018 PA Supreme Court remap (Lehigh Valley: Lehigh, Northampton, s. Monroe)</t>
        </is>
      </c>
      <c r="D8" s="55" t="inlineStr">
        <is>
          <t>Susan Wild</t>
        </is>
      </c>
      <c r="E8" s="57" t="inlineStr">
        <is>
          <t>DEM</t>
        </is>
      </c>
      <c r="F8" s="58" t="inlineStr">
        <is>
          <t>yes</t>
        </is>
      </c>
      <c r="G8" s="59" t="n">
        <v>4644289.9</v>
      </c>
      <c r="H8" s="59" t="n">
        <v>4591501.23</v>
      </c>
      <c r="I8" s="59" t="n">
        <v>78696.36</v>
      </c>
      <c r="J8" s="59" t="n">
        <v>3417373.86</v>
      </c>
      <c r="K8" s="59" t="n">
        <v>1027681.99</v>
      </c>
      <c r="L8" s="59" t="n">
        <v>50133.76</v>
      </c>
      <c r="M8" s="59" t="n">
        <v>127595.71</v>
      </c>
      <c r="N8" s="60">
        <f>IF(ISNUMBER(G8),G8+L8+SUMIFS($M$6:$M$13,$A$6:$A$13,$A8,$E$6:$E$13,"&lt;&gt;"&amp;$E8),"")</f>
        <v/>
      </c>
      <c r="O8" s="61" t="n">
        <v>195475</v>
      </c>
      <c r="P8" s="62">
        <f>IF(AND(ISNUMBER(O8),SUMIFS($O$6:$O$13,$A$6:$A$13,$A8)&lt;&gt;0),O8/SUMIFS($O$6:$O$13,$A$6:$A$13,$A8),"")</f>
        <v/>
      </c>
      <c r="Q8" s="63" t="inlineStr">
        <is>
          <t>won</t>
        </is>
      </c>
      <c r="R8" s="64">
        <f>IF(AND(ISNUMBER(G8),ISNUMBER(O8),O8&lt;&gt;0),G8/O8,"")</f>
        <v/>
      </c>
      <c r="S8" s="64">
        <f>IF(AND(ISNUMBER(N8),ISNUMBER(O8),O8&lt;&gt;0),N8/O8,"")</f>
        <v/>
      </c>
    </row>
    <row r="9">
      <c r="A9" s="51" t="n">
        <v>2020</v>
      </c>
      <c r="B9" s="51" t="inlineStr">
        <is>
          <t>2020-11-03</t>
        </is>
      </c>
      <c r="C9" s="65" t="inlineStr">
        <is>
          <t>2018 PA Supreme Court remap (Lehigh Valley: Lehigh, Northampton, s. Monroe)</t>
        </is>
      </c>
      <c r="D9" s="51" t="inlineStr">
        <is>
          <t>Lisa Scheller</t>
        </is>
      </c>
      <c r="E9" s="66" t="inlineStr">
        <is>
          <t>REP</t>
        </is>
      </c>
      <c r="F9" s="14" t="inlineStr">
        <is>
          <t>no</t>
        </is>
      </c>
      <c r="G9" s="44" t="n">
        <v>3740779.05</v>
      </c>
      <c r="H9" s="44" t="n">
        <v>3661738.3</v>
      </c>
      <c r="I9" s="44" t="n">
        <v>79040.75</v>
      </c>
      <c r="J9" s="44" t="n">
        <v>998798.1899999999</v>
      </c>
      <c r="K9" s="44" t="n">
        <v>231174.7</v>
      </c>
      <c r="L9" s="44" t="n">
        <v>600145.5600000001</v>
      </c>
      <c r="M9" s="44" t="n">
        <v>1165.62</v>
      </c>
      <c r="N9" s="42">
        <f>IF(ISNUMBER(G9),G9+L9+SUMIFS($M$6:$M$13,$A$6:$A$13,$A9,$E$6:$E$13,"&lt;&gt;"&amp;$E9),"")</f>
        <v/>
      </c>
      <c r="O9" s="49" t="n">
        <v>181407</v>
      </c>
      <c r="P9" s="67">
        <f>IF(AND(ISNUMBER(O9),SUMIFS($O$6:$O$13,$A$6:$A$13,$A9)&lt;&gt;0),O9/SUMIFS($O$6:$O$13,$A$6:$A$13,$A9),"")</f>
        <v/>
      </c>
      <c r="Q9" s="68" t="inlineStr">
        <is>
          <t>lost</t>
        </is>
      </c>
      <c r="R9" s="69">
        <f>IF(AND(ISNUMBER(G9),ISNUMBER(O9),O9&lt;&gt;0),G9/O9,"")</f>
        <v/>
      </c>
      <c r="S9" s="69">
        <f>IF(AND(ISNUMBER(N9),ISNUMBER(O9),O9&lt;&gt;0),N9/O9,"")</f>
        <v/>
      </c>
    </row>
    <row r="10">
      <c r="A10" s="55" t="n">
        <v>2022</v>
      </c>
      <c r="B10" s="55" t="inlineStr">
        <is>
          <t>2022-11-08</t>
        </is>
      </c>
      <c r="C10" s="56" t="inlineStr">
        <is>
          <t>2022 post-census remap (Lehigh, Northampton, Carbon, part of Monroe)</t>
        </is>
      </c>
      <c r="D10" s="55" t="inlineStr">
        <is>
          <t>Susan Wild</t>
        </is>
      </c>
      <c r="E10" s="57" t="inlineStr">
        <is>
          <t>DEM</t>
        </is>
      </c>
      <c r="F10" s="58" t="inlineStr">
        <is>
          <t>yes</t>
        </is>
      </c>
      <c r="G10" s="59" t="n">
        <v>7002291.19</v>
      </c>
      <c r="H10" s="59" t="n">
        <v>7027026.2</v>
      </c>
      <c r="I10" s="59" t="n">
        <v>53961.35</v>
      </c>
      <c r="J10" s="59" t="n">
        <v>5366116.25</v>
      </c>
      <c r="K10" s="59" t="n">
        <v>1279735.82</v>
      </c>
      <c r="L10" s="59" t="n">
        <v>655273.84</v>
      </c>
      <c r="M10" s="59" t="n">
        <v>10853652.49</v>
      </c>
      <c r="N10" s="60">
        <f>IF(ISNUMBER(G10),G10+L10+SUMIFS($M$6:$M$13,$A$6:$A$13,$A10,$E$6:$E$13,"&lt;&gt;"&amp;$E10),"")</f>
        <v/>
      </c>
      <c r="O10" s="61" t="n">
        <v>151364</v>
      </c>
      <c r="P10" s="62">
        <f>IF(AND(ISNUMBER(O10),SUMIFS($O$6:$O$13,$A$6:$A$13,$A10)&lt;&gt;0),O10/SUMIFS($O$6:$O$13,$A$6:$A$13,$A10),"")</f>
        <v/>
      </c>
      <c r="Q10" s="63" t="inlineStr">
        <is>
          <t>won</t>
        </is>
      </c>
      <c r="R10" s="64">
        <f>IF(AND(ISNUMBER(G10),ISNUMBER(O10),O10&lt;&gt;0),G10/O10,"")</f>
        <v/>
      </c>
      <c r="S10" s="64">
        <f>IF(AND(ISNUMBER(N10),ISNUMBER(O10),O10&lt;&gt;0),N10/O10,"")</f>
        <v/>
      </c>
    </row>
    <row r="11">
      <c r="A11" s="51" t="n">
        <v>2022</v>
      </c>
      <c r="B11" s="51" t="inlineStr">
        <is>
          <t>2022-11-08</t>
        </is>
      </c>
      <c r="C11" s="65" t="inlineStr">
        <is>
          <t>2022 post-census remap (Lehigh, Northampton, Carbon, part of Monroe)</t>
        </is>
      </c>
      <c r="D11" s="51" t="inlineStr">
        <is>
          <t>Lisa Scheller</t>
        </is>
      </c>
      <c r="E11" s="66" t="inlineStr">
        <is>
          <t>REP</t>
        </is>
      </c>
      <c r="F11" s="14" t="inlineStr">
        <is>
          <t>no</t>
        </is>
      </c>
      <c r="G11" s="44" t="n">
        <v>6354578.69</v>
      </c>
      <c r="H11" s="44" t="n">
        <v>6432421.56</v>
      </c>
      <c r="I11" s="44" t="n">
        <v>2737.49</v>
      </c>
      <c r="J11" s="44" t="n">
        <v>2381481.34</v>
      </c>
      <c r="K11" s="44" t="n">
        <v>514762</v>
      </c>
      <c r="L11" s="44" t="n">
        <v>23268.88</v>
      </c>
      <c r="M11" s="44" t="n">
        <v>8764085.75</v>
      </c>
      <c r="N11" s="42">
        <f>IF(ISNUMBER(G11),G11+L11+SUMIFS($M$6:$M$13,$A$6:$A$13,$A11,$E$6:$E$13,"&lt;&gt;"&amp;$E11),"")</f>
        <v/>
      </c>
      <c r="O11" s="49" t="n">
        <v>145527</v>
      </c>
      <c r="P11" s="67">
        <f>IF(AND(ISNUMBER(O11),SUMIFS($O$6:$O$13,$A$6:$A$13,$A11)&lt;&gt;0),O11/SUMIFS($O$6:$O$13,$A$6:$A$13,$A11),"")</f>
        <v/>
      </c>
      <c r="Q11" s="68" t="inlineStr">
        <is>
          <t>lost</t>
        </is>
      </c>
      <c r="R11" s="69">
        <f>IF(AND(ISNUMBER(G11),ISNUMBER(O11),O11&lt;&gt;0),G11/O11,"")</f>
        <v/>
      </c>
      <c r="S11" s="69">
        <f>IF(AND(ISNUMBER(N11),ISNUMBER(O11),O11&lt;&gt;0),N11/O11,"")</f>
        <v/>
      </c>
    </row>
    <row r="12">
      <c r="A12" s="51" t="n">
        <v>2024</v>
      </c>
      <c r="B12" s="51" t="inlineStr">
        <is>
          <t>2024-11-05</t>
        </is>
      </c>
      <c r="C12" s="65" t="inlineStr">
        <is>
          <t>2022 post-census remap (Lehigh, Northampton, Carbon, part of Monroe)</t>
        </is>
      </c>
      <c r="D12" s="51" t="inlineStr">
        <is>
          <t>Susan Wild</t>
        </is>
      </c>
      <c r="E12" s="70" t="inlineStr">
        <is>
          <t>DEM</t>
        </is>
      </c>
      <c r="F12" s="14" t="inlineStr">
        <is>
          <t>yes</t>
        </is>
      </c>
      <c r="G12" s="44" t="n">
        <v>8960927.65</v>
      </c>
      <c r="H12" s="44" t="n">
        <v>8946230</v>
      </c>
      <c r="I12" s="44" t="n">
        <v>68659</v>
      </c>
      <c r="J12" s="44" t="n">
        <v>6604896.42</v>
      </c>
      <c r="K12" s="44" t="n">
        <v>1393265.46</v>
      </c>
      <c r="L12" s="44" t="n">
        <v>4568368.78</v>
      </c>
      <c r="M12" s="44" t="n">
        <v>10424863.22</v>
      </c>
      <c r="N12" s="42">
        <f>IF(ISNUMBER(G12),G12+L12+SUMIFS($M$6:$M$13,$A$6:$A$13,$A12,$E$6:$E$13,"&lt;&gt;"&amp;$E12),"")</f>
        <v/>
      </c>
      <c r="O12" s="49" t="n">
        <v>199626</v>
      </c>
      <c r="P12" s="67">
        <f>IF(AND(ISNUMBER(O12),SUMIFS($O$6:$O$13,$A$6:$A$13,$A12)&lt;&gt;0),O12/SUMIFS($O$6:$O$13,$A$6:$A$13,$A12),"")</f>
        <v/>
      </c>
      <c r="Q12" s="68" t="inlineStr">
        <is>
          <t>lost</t>
        </is>
      </c>
      <c r="R12" s="69">
        <f>IF(AND(ISNUMBER(G12),ISNUMBER(O12),O12&lt;&gt;0),G12/O12,"")</f>
        <v/>
      </c>
      <c r="S12" s="69">
        <f>IF(AND(ISNUMBER(N12),ISNUMBER(O12),O12&lt;&gt;0),N12/O12,"")</f>
        <v/>
      </c>
    </row>
    <row r="13">
      <c r="A13" s="55" t="n">
        <v>2024</v>
      </c>
      <c r="B13" s="55" t="inlineStr">
        <is>
          <t>2024-11-05</t>
        </is>
      </c>
      <c r="C13" s="56" t="inlineStr">
        <is>
          <t>2022 post-census remap (Lehigh, Northampton, Carbon, part of Monroe)</t>
        </is>
      </c>
      <c r="D13" s="55" t="inlineStr">
        <is>
          <t>Ryan Mackenzie</t>
        </is>
      </c>
      <c r="E13" s="71" t="inlineStr">
        <is>
          <t>REP</t>
        </is>
      </c>
      <c r="F13" s="58" t="inlineStr">
        <is>
          <t>no</t>
        </is>
      </c>
      <c r="G13" s="59" t="n">
        <v>1818407.11</v>
      </c>
      <c r="H13" s="59" t="n">
        <v>1715167.2</v>
      </c>
      <c r="I13" s="59" t="n">
        <v>103239.91</v>
      </c>
      <c r="J13" s="59" t="n">
        <v>886645.14</v>
      </c>
      <c r="K13" s="59" t="n">
        <v>419249.05</v>
      </c>
      <c r="L13" s="59" t="n">
        <v>1333061.79</v>
      </c>
      <c r="M13" s="59" t="n">
        <v>9962854.130000001</v>
      </c>
      <c r="N13" s="60">
        <f>IF(ISNUMBER(G13),G13+L13+SUMIFS($M$6:$M$13,$A$6:$A$13,$A13,$E$6:$E$13,"&lt;&gt;"&amp;$E13),"")</f>
        <v/>
      </c>
      <c r="O13" s="61" t="n">
        <v>203688</v>
      </c>
      <c r="P13" s="62">
        <f>IF(AND(ISNUMBER(O13),SUMIFS($O$6:$O$13,$A$6:$A$13,$A13)&lt;&gt;0),O13/SUMIFS($O$6:$O$13,$A$6:$A$13,$A13),"")</f>
        <v/>
      </c>
      <c r="Q13" s="63" t="inlineStr">
        <is>
          <t>won</t>
        </is>
      </c>
      <c r="R13" s="64">
        <f>IF(AND(ISNUMBER(G13),ISNUMBER(O13),O13&lt;&gt;0),G13/O13,"")</f>
        <v/>
      </c>
      <c r="S13" s="64">
        <f>IF(AND(ISNUMBER(N13),ISNUMBER(O13),O13&lt;&gt;0),N13/O13,"")</f>
        <v/>
      </c>
    </row>
    <row r="15" ht="13" customHeight="1">
      <c r="A15" s="45" t="inlineStr">
        <is>
          <t>TOTAL VOTES CAST, AND WHAT TWO-PARTY SHARE LEAVES OUT</t>
        </is>
      </c>
    </row>
    <row r="16" ht="32" customHeight="1">
      <c r="A16" s="10" t="inlineStr">
        <is>
          <t>Cycle</t>
        </is>
      </c>
      <c r="B16" s="10" t="inlineStr"/>
      <c r="C16" s="10" t="inlineStr"/>
      <c r="D16" s="10" t="inlineStr"/>
      <c r="E16" s="10" t="inlineStr"/>
      <c r="F16" s="10" t="inlineStr"/>
      <c r="G16" s="10" t="inlineStr"/>
      <c r="H16" s="10" t="inlineStr"/>
      <c r="I16" s="10" t="inlineStr"/>
      <c r="J16" s="10" t="inlineStr"/>
      <c r="K16" s="10" t="inlineStr"/>
      <c r="L16" s="10" t="inlineStr"/>
      <c r="M16" s="10" t="inlineStr"/>
      <c r="N16" s="10" t="inlineStr"/>
      <c r="O16" s="10" t="inlineStr">
        <is>
          <t>Total votes cast</t>
        </is>
      </c>
      <c r="P16" s="10" t="inlineStr">
        <is>
          <t>Third-party and write-in</t>
        </is>
      </c>
      <c r="Q16" s="10" t="inlineStr">
        <is>
          <t>Third-party share</t>
        </is>
      </c>
      <c r="R16" s="10" t="inlineStr">
        <is>
          <t>Reconciliation</t>
        </is>
      </c>
      <c r="S16" s="10" t="inlineStr"/>
    </row>
    <row r="17">
      <c r="A17" s="51" t="n">
        <v>2018</v>
      </c>
      <c r="B17" s="52" t="n"/>
      <c r="C17" s="52" t="n"/>
      <c r="D17" s="14" t="inlineStr">
        <is>
          <t>All candidates on the ballot</t>
        </is>
      </c>
      <c r="E17" s="52" t="n"/>
      <c r="F17" s="52" t="n"/>
      <c r="G17" s="52" t="n"/>
      <c r="H17" s="52" t="n"/>
      <c r="I17" s="52" t="n"/>
      <c r="J17" s="52" t="n"/>
      <c r="K17" s="52" t="n"/>
      <c r="L17" s="52" t="n"/>
      <c r="M17" s="52" t="n"/>
      <c r="N17" s="52" t="n"/>
      <c r="O17" s="49" t="n">
        <v>263360</v>
      </c>
      <c r="P17" s="49" t="n">
        <v>8110</v>
      </c>
      <c r="Q17" s="67">
        <f>IF(AND(ISNUMBER(O17),ISNUMBER(P17),O17&lt;&gt;0),P17/O17,"")</f>
        <v/>
      </c>
      <c r="R17" s="46">
        <f>IF(NOT(ISNUMBER(O17)),"not reported",IF(ABS(SUMIF($A$6:$A$13,$A17,$O$6:$O$13)+IF(ISNUMBER(P17),P17,0)-O17)&lt;0.5,"ok","MISMATCH"))</f>
        <v/>
      </c>
    </row>
    <row r="18">
      <c r="A18" s="51" t="n">
        <v>2020</v>
      </c>
      <c r="B18" s="52" t="n"/>
      <c r="C18" s="52" t="n"/>
      <c r="D18" s="14" t="inlineStr">
        <is>
          <t>All candidates on the ballot</t>
        </is>
      </c>
      <c r="E18" s="52" t="n"/>
      <c r="F18" s="52" t="n"/>
      <c r="G18" s="52" t="n"/>
      <c r="H18" s="52" t="n"/>
      <c r="I18" s="52" t="n"/>
      <c r="J18" s="52" t="n"/>
      <c r="K18" s="52" t="n"/>
      <c r="L18" s="52" t="n"/>
      <c r="M18" s="52" t="n"/>
      <c r="N18" s="52" t="n"/>
      <c r="O18" s="49" t="n">
        <v>377404</v>
      </c>
      <c r="P18" s="49" t="n">
        <v>522</v>
      </c>
      <c r="Q18" s="67">
        <f>IF(AND(ISNUMBER(O18),ISNUMBER(P18),O18&lt;&gt;0),P18/O18,"")</f>
        <v/>
      </c>
      <c r="R18" s="46">
        <f>IF(NOT(ISNUMBER(O18)),"not reported",IF(ABS(SUMIF($A$6:$A$13,$A18,$O$6:$O$13)+IF(ISNUMBER(P18),P18,0)-O18)&lt;0.5,"ok","MISMATCH"))</f>
        <v/>
      </c>
    </row>
    <row r="19">
      <c r="A19" s="51" t="n">
        <v>2022</v>
      </c>
      <c r="B19" s="52" t="n"/>
      <c r="C19" s="52" t="n"/>
      <c r="D19" s="14" t="inlineStr">
        <is>
          <t>All candidates on the ballot</t>
        </is>
      </c>
      <c r="E19" s="52" t="n"/>
      <c r="F19" s="52" t="n"/>
      <c r="G19" s="52" t="n"/>
      <c r="H19" s="52" t="n"/>
      <c r="I19" s="52" t="n"/>
      <c r="J19" s="52" t="n"/>
      <c r="K19" s="52" t="n"/>
      <c r="L19" s="52" t="n"/>
      <c r="M19" s="52" t="n"/>
      <c r="N19" s="52" t="n"/>
      <c r="O19" s="49" t="n">
        <v>297395</v>
      </c>
      <c r="P19" s="49" t="n">
        <v>504</v>
      </c>
      <c r="Q19" s="67">
        <f>IF(AND(ISNUMBER(O19),ISNUMBER(P19),O19&lt;&gt;0),P19/O19,"")</f>
        <v/>
      </c>
      <c r="R19" s="46">
        <f>IF(NOT(ISNUMBER(O19)),"not reported",IF(ABS(SUMIF($A$6:$A$13,$A19,$O$6:$O$13)+IF(ISNUMBER(P19),P19,0)-O19)&lt;0.5,"ok","MISMATCH"))</f>
        <v/>
      </c>
    </row>
    <row r="20">
      <c r="A20" s="51" t="n">
        <v>2024</v>
      </c>
      <c r="B20" s="52" t="n"/>
      <c r="C20" s="52" t="n"/>
      <c r="D20" s="14" t="inlineStr">
        <is>
          <t>All candidates on the ballot</t>
        </is>
      </c>
      <c r="E20" s="52" t="n"/>
      <c r="F20" s="52" t="n"/>
      <c r="G20" s="52" t="n"/>
      <c r="H20" s="52" t="n"/>
      <c r="I20" s="52" t="n"/>
      <c r="J20" s="52" t="n"/>
      <c r="K20" s="52" t="n"/>
      <c r="L20" s="52" t="n"/>
      <c r="M20" s="52" t="n"/>
      <c r="N20" s="52" t="n"/>
      <c r="O20" s="72" t="n"/>
      <c r="P20" s="72" t="n"/>
      <c r="Q20" s="73">
        <f>IF(AND(ISNUMBER(O20),ISNUMBER(P20),O20&lt;&gt;0),P20/O20,"")</f>
        <v/>
      </c>
      <c r="R20" s="46">
        <f>IF(NOT(ISNUMBER(O20)),"not reported",IF(ABS(SUMIF($A$6:$A$13,$A20,$O$6:$O$13)+IF(ISNUMBER(P20),P20,0)-O20)&lt;0.5,"ok","MISMATCH"))</f>
        <v/>
      </c>
    </row>
    <row r="21">
      <c r="D21" s="40" t="inlineStr">
        <is>
          <t>Check: two-party plus third-party equals total, for every cycle that reports a total</t>
        </is>
      </c>
      <c r="R21" s="74">
        <f>COUNTIF(R17:R20,"MISMATCH")</f>
        <v/>
      </c>
    </row>
    <row r="23" ht="13" customHeight="1">
      <c r="A23" s="45" t="inlineStr">
        <is>
          <t>HOW TO READ THIS SHEET</t>
        </is>
      </c>
    </row>
    <row r="24" ht="24" customHeight="1">
      <c r="A24" s="32" t="inlineStr">
        <is>
          <t>- DISTRICT BOUNDARIES CHANGED INSIDE THIS WINDOW. 2018 and 2020 were run on the 2018 PA Supreme Court remap; 2022 and 2024 on the post-2020-census remap, which added Carbon County and changed the Monroe County portion. The seat is Lehigh Valley-based throughout, so the four elections are broadly comparable, but they are not the identical electorate.</t>
        </is>
      </c>
    </row>
    <row r="25" ht="24" customHeight="1">
      <c r="A25" s="32" t="inlineStr">
        <is>
          <t>- Susan Wild's FEC candidate record is filed under district 15 for cycle 2018 (candidate_id H8PA15195-era numbering, H8PA15229), because she first filed in the pre-remap PA-15. A query of /elections/?district=07&amp;cycle=2018 therefore OMITS her entirely. Her totals here were pulled directly by candidate_id.</t>
        </is>
      </c>
    </row>
    <row r="26" ht="24" customHeight="1">
      <c r="A26" s="32" t="inlineStr">
        <is>
          <t>- In 2018 Wild simultaneously contested the FULL TERM in the new PA-07 and the UNEXPIRED TERM special election in the old PA-15 (both on 2018-11-06). Her single committee funded both, so her 2018 receipts are not a clean 'PA-07 general election' figure. The vote total used here is the FULL TERM (new PA-07) race.</t>
        </is>
      </c>
    </row>
    <row r="27" ht="13" customHeight="1">
      <c r="A27" s="32" t="inlineStr">
        <is>
          <t>- 'Other votes' are third-party and scattered write-in votes reported in the official results. 2018 included a Libertarian (Tim Silfies) who took 3.0% of the vote; the other three cycles were effectively two-candidate races.</t>
        </is>
      </c>
    </row>
    <row r="28" ht="24" customHeight="1">
      <c r="A28" s="32" t="inlineStr">
        <is>
          <t>- Two-party vote share (used for the correlation and regression) is a candidate's votes divided by the sum of the Democratic and Republican votes only. This is the standard comparable measure when third-party presence varies across years, as it does here.</t>
        </is>
      </c>
    </row>
    <row r="29" ht="13" customHeight="1">
      <c r="A29" s="32" t="inlineStr">
        <is>
          <t>- The Clerk of the House summary for 2024 lists only the two major-party nominees and reports no all-candidate district total. Third-party and write-in votes for 2024 are therefore unknown and recorded as null, not zero.</t>
        </is>
      </c>
    </row>
    <row r="30" ht="13" customHeight="1">
      <c r="A30" s="32" t="inlineStr">
        <is>
          <t>- Finance figures are full-cycle totals through 31 December of the election year and are final, unlike the current-cycle figures, which are mid-cycle.</t>
        </is>
      </c>
    </row>
    <row r="31" ht="13" customHeight="1">
      <c r="A31" s="32" t="inlineStr">
        <is>
          <t>- In 2018 Susan Wild's single committee financed two concurrent races (the PA-07 full term and the PA-15 unexpired term), so her 2018 receipts are not a clean PA-07 figure. The vote total used is the full-term race.</t>
        </is>
      </c>
    </row>
  </sheetData>
  <mergeCells count="10">
    <mergeCell ref="A25:S25"/>
    <mergeCell ref="A30:S30"/>
    <mergeCell ref="A28:S28"/>
    <mergeCell ref="A23:S23"/>
    <mergeCell ref="A29:S29"/>
    <mergeCell ref="A27:S27"/>
    <mergeCell ref="A31:S31"/>
    <mergeCell ref="A26:S26"/>
    <mergeCell ref="A24:S24"/>
    <mergeCell ref="A15:S15"/>
  </mergeCells>
  <pageMargins left="0.75" right="0.75" top="1" bottom="1" header="0.5" footer="0.5"/>
  <legacyDrawing xmlns:r="http://schemas.openxmlformats.org/officeDocument/2006/relationships" r:id="anysvml"/>
</worksheet>
</file>

<file path=xl/worksheets/sheet11.xml><?xml version="1.0" encoding="utf-8"?>
<worksheet xmlns="http://schemas.openxmlformats.org/spreadsheetml/2006/main">
  <sheetPr>
    <tabColor rgb="001F3864"/>
    <outlinePr summaryBelow="1" summaryRight="1"/>
    <pageSetUpPr/>
  </sheetPr>
  <dimension ref="A1:T53"/>
  <sheetViews>
    <sheetView showGridLines="0" workbookViewId="0">
      <selection activeCell="A1" sqref="A1"/>
    </sheetView>
  </sheetViews>
  <sheetFormatPr baseColWidth="8" defaultRowHeight="15"/>
  <cols>
    <col width="3" customWidth="1" min="1" max="1"/>
    <col width="24" customWidth="1" min="18" max="18"/>
    <col width="24" customWidth="1" min="19" max="19"/>
    <col width="24" customWidth="1" min="20" max="20"/>
    <col width="24" customWidth="1" min="21" max="21"/>
    <col width="24" customWidth="1" min="22" max="22"/>
    <col width="24" customWidth="1" min="23" max="23"/>
  </cols>
  <sheetData>
    <row r="1">
      <c r="A1" s="1" t="inlineStr">
        <is>
          <t>Money and results, 2018 to 2024</t>
        </is>
      </c>
    </row>
    <row r="2">
      <c r="A2" s="2" t="inlineStr">
        <is>
          <t>Every series links to the History and Money vs Results sheets. Source data in columns R onward.</t>
        </is>
      </c>
      <c r="R2" s="35" t="inlineStr">
        <is>
          <t>CHART 1: all aligned money by cycle</t>
        </is>
      </c>
    </row>
    <row r="3">
      <c r="R3" s="36" t="inlineStr">
        <is>
          <t>Cycle</t>
        </is>
      </c>
      <c r="S3" s="36" t="inlineStr">
        <is>
          <t>Democratic side</t>
        </is>
      </c>
      <c r="T3" s="36" t="inlineStr">
        <is>
          <t>Republican side</t>
        </is>
      </c>
    </row>
    <row r="4">
      <c r="R4" s="5" t="n">
        <v>2018</v>
      </c>
      <c r="S4" s="37">
        <f>'Money vs Results'!E6</f>
        <v/>
      </c>
      <c r="T4" s="37">
        <f>'Money vs Results'!F6</f>
        <v/>
      </c>
    </row>
    <row r="5">
      <c r="R5" s="5" t="n">
        <v>2020</v>
      </c>
      <c r="S5" s="37">
        <f>'Money vs Results'!E7</f>
        <v/>
      </c>
      <c r="T5" s="37">
        <f>'Money vs Results'!F7</f>
        <v/>
      </c>
    </row>
    <row r="6">
      <c r="R6" s="5" t="n">
        <v>2022</v>
      </c>
      <c r="S6" s="37">
        <f>'Money vs Results'!E8</f>
        <v/>
      </c>
      <c r="T6" s="37">
        <f>'Money vs Results'!F8</f>
        <v/>
      </c>
    </row>
    <row r="7">
      <c r="R7" s="5" t="n">
        <v>2024</v>
      </c>
      <c r="S7" s="37">
        <f>'Money vs Results'!E9</f>
        <v/>
      </c>
      <c r="T7" s="37">
        <f>'Money vs Results'!F9</f>
        <v/>
      </c>
    </row>
    <row r="9">
      <c r="R9" s="35" t="inlineStr">
        <is>
          <t>CHART 2: candidate receipts by cycle</t>
        </is>
      </c>
    </row>
    <row r="10">
      <c r="R10" s="36" t="inlineStr">
        <is>
          <t>Cycle</t>
        </is>
      </c>
      <c r="S10" s="36" t="inlineStr">
        <is>
          <t>Democratic nominee</t>
        </is>
      </c>
      <c r="T10" s="36" t="inlineStr">
        <is>
          <t>Republican nominee</t>
        </is>
      </c>
    </row>
    <row r="11">
      <c r="R11" s="5" t="n">
        <v>2018</v>
      </c>
      <c r="S11" s="37">
        <f>'Money vs Results'!B6</f>
        <v/>
      </c>
      <c r="T11" s="37">
        <f>'Money vs Results'!C6</f>
        <v/>
      </c>
    </row>
    <row r="12">
      <c r="R12" s="5" t="n">
        <v>2020</v>
      </c>
      <c r="S12" s="37">
        <f>'Money vs Results'!B7</f>
        <v/>
      </c>
      <c r="T12" s="37">
        <f>'Money vs Results'!C7</f>
        <v/>
      </c>
    </row>
    <row r="13">
      <c r="R13" s="5" t="n">
        <v>2022</v>
      </c>
      <c r="S13" s="37">
        <f>'Money vs Results'!B8</f>
        <v/>
      </c>
      <c r="T13" s="37">
        <f>'Money vs Results'!C8</f>
        <v/>
      </c>
    </row>
    <row r="14">
      <c r="R14" s="5" t="n">
        <v>2024</v>
      </c>
      <c r="S14" s="37">
        <f>'Money vs Results'!B9</f>
        <v/>
      </c>
      <c r="T14" s="37">
        <f>'Money vs Results'!C9</f>
        <v/>
      </c>
    </row>
    <row r="16">
      <c r="R16" s="35" t="inlineStr">
        <is>
          <t>CHART 3: aligned money share vs vote share (Model B)</t>
        </is>
      </c>
    </row>
    <row r="17">
      <c r="R17" s="36" t="inlineStr">
        <is>
          <t>Cycle</t>
        </is>
      </c>
      <c r="S17" s="36" t="inlineStr">
        <is>
          <t>D share of all aligned money</t>
        </is>
      </c>
      <c r="T17" s="36" t="inlineStr">
        <is>
          <t>D two-party vote share</t>
        </is>
      </c>
    </row>
    <row r="18">
      <c r="R18" s="5" t="n">
        <v>2018</v>
      </c>
      <c r="S18" s="75">
        <f>'Money vs Results'!G6</f>
        <v/>
      </c>
      <c r="T18" s="75">
        <f>'Money vs Results'!H6</f>
        <v/>
      </c>
    </row>
    <row r="19">
      <c r="R19" s="5" t="n">
        <v>2020</v>
      </c>
      <c r="S19" s="75">
        <f>'Money vs Results'!G7</f>
        <v/>
      </c>
      <c r="T19" s="75">
        <f>'Money vs Results'!H7</f>
        <v/>
      </c>
    </row>
    <row r="20">
      <c r="R20" s="5" t="n">
        <v>2022</v>
      </c>
      <c r="S20" s="75">
        <f>'Money vs Results'!G8</f>
        <v/>
      </c>
      <c r="T20" s="75">
        <f>'Money vs Results'!H8</f>
        <v/>
      </c>
    </row>
    <row r="21">
      <c r="R21" s="5" t="n">
        <v>2024</v>
      </c>
      <c r="S21" s="75">
        <f>'Money vs Results'!G9</f>
        <v/>
      </c>
      <c r="T21" s="75">
        <f>'Money vs Results'!H9</f>
        <v/>
      </c>
    </row>
    <row r="23">
      <c r="R23" s="35" t="inlineStr">
        <is>
          <t>CHART 4: receipts share vs vote share (Model A)</t>
        </is>
      </c>
    </row>
    <row r="24">
      <c r="R24" s="36" t="inlineStr">
        <is>
          <t>Cycle</t>
        </is>
      </c>
      <c r="S24" s="36" t="inlineStr">
        <is>
          <t>D share of candidate receipts</t>
        </is>
      </c>
      <c r="T24" s="36" t="inlineStr">
        <is>
          <t>D two-party vote share</t>
        </is>
      </c>
    </row>
    <row r="25">
      <c r="R25" s="5" t="n">
        <v>2018</v>
      </c>
      <c r="S25" s="75">
        <f>'Money vs Results'!D6</f>
        <v/>
      </c>
      <c r="T25" s="75">
        <f>'Money vs Results'!H6</f>
        <v/>
      </c>
    </row>
    <row r="26">
      <c r="R26" s="5" t="n">
        <v>2020</v>
      </c>
      <c r="S26" s="75">
        <f>'Money vs Results'!D7</f>
        <v/>
      </c>
      <c r="T26" s="75">
        <f>'Money vs Results'!H7</f>
        <v/>
      </c>
    </row>
    <row r="27">
      <c r="R27" s="5" t="n">
        <v>2022</v>
      </c>
      <c r="S27" s="75">
        <f>'Money vs Results'!D8</f>
        <v/>
      </c>
      <c r="T27" s="75">
        <f>'Money vs Results'!H8</f>
        <v/>
      </c>
    </row>
    <row r="28">
      <c r="R28" s="5" t="n">
        <v>2024</v>
      </c>
      <c r="S28" s="75">
        <f>'Money vs Results'!D9</f>
        <v/>
      </c>
      <c r="T28" s="75">
        <f>'Money vs Results'!H9</f>
        <v/>
      </c>
    </row>
    <row r="30">
      <c r="R30" s="35" t="inlineStr">
        <is>
          <t>CHART 5: Democratic two-party vote share</t>
        </is>
      </c>
    </row>
    <row r="31">
      <c r="R31" s="36" t="inlineStr">
        <is>
          <t>Cycle</t>
        </is>
      </c>
      <c r="S31" s="36" t="inlineStr">
        <is>
          <t>D two-party vote share</t>
        </is>
      </c>
      <c r="T31" s="36" t="inlineStr">
        <is>
          <t>50%</t>
        </is>
      </c>
    </row>
    <row r="32">
      <c r="R32" s="5" t="n">
        <v>2018</v>
      </c>
      <c r="S32" s="75">
        <f>'Money vs Results'!H6</f>
        <v/>
      </c>
      <c r="T32" s="76" t="n">
        <v>0.5</v>
      </c>
    </row>
    <row r="33">
      <c r="R33" s="5" t="n">
        <v>2020</v>
      </c>
      <c r="S33" s="75">
        <f>'Money vs Results'!H7</f>
        <v/>
      </c>
      <c r="T33" s="76" t="n">
        <v>0.5</v>
      </c>
    </row>
    <row r="34">
      <c r="R34" s="5" t="n">
        <v>2022</v>
      </c>
      <c r="S34" s="75">
        <f>'Money vs Results'!H8</f>
        <v/>
      </c>
      <c r="T34" s="76" t="n">
        <v>0.5</v>
      </c>
    </row>
    <row r="35">
      <c r="R35" s="5" t="n">
        <v>2024</v>
      </c>
      <c r="S35" s="75">
        <f>'Money vs Results'!H9</f>
        <v/>
      </c>
      <c r="T35" s="76" t="n">
        <v>0.5</v>
      </c>
    </row>
    <row r="37">
      <c r="R37" s="35" t="inlineStr">
        <is>
          <t>CHART 6: candidate money vs outside money</t>
        </is>
      </c>
    </row>
    <row r="38">
      <c r="R38" s="36" t="inlineStr">
        <is>
          <t>Cycle</t>
        </is>
      </c>
      <c r="S38" s="36" t="inlineStr">
        <is>
          <t>Candidate committees</t>
        </is>
      </c>
      <c r="T38" s="36" t="inlineStr">
        <is>
          <t>Outside spending</t>
        </is>
      </c>
    </row>
    <row r="39">
      <c r="R39" s="5" t="n">
        <v>2018</v>
      </c>
      <c r="S39" s="37">
        <f>'Money vs Results'!B6+'Money vs Results'!C6</f>
        <v/>
      </c>
      <c r="T39" s="37">
        <f>('Money vs Results'!E6+'Money vs Results'!F6)-('Money vs Results'!B6+'Money vs Results'!C6)</f>
        <v/>
      </c>
    </row>
    <row r="40">
      <c r="R40" s="5" t="n">
        <v>2020</v>
      </c>
      <c r="S40" s="37">
        <f>'Money vs Results'!B7+'Money vs Results'!C7</f>
        <v/>
      </c>
      <c r="T40" s="37">
        <f>('Money vs Results'!E7+'Money vs Results'!F7)-('Money vs Results'!B7+'Money vs Results'!C7)</f>
        <v/>
      </c>
    </row>
    <row r="41">
      <c r="R41" s="5" t="n">
        <v>2022</v>
      </c>
      <c r="S41" s="37">
        <f>'Money vs Results'!B8+'Money vs Results'!C8</f>
        <v/>
      </c>
      <c r="T41" s="37">
        <f>('Money vs Results'!E8+'Money vs Results'!F8)-('Money vs Results'!B8+'Money vs Results'!C8)</f>
        <v/>
      </c>
    </row>
    <row r="42">
      <c r="R42" s="5" t="n">
        <v>2024</v>
      </c>
      <c r="S42" s="37">
        <f>'Money vs Results'!B9+'Money vs Results'!C9</f>
        <v/>
      </c>
      <c r="T42" s="37">
        <f>('Money vs Results'!E9+'Money vs Results'!F9)-('Money vs Results'!B9+'Money vs Results'!C9)</f>
        <v/>
      </c>
    </row>
    <row r="44">
      <c r="R44" s="35" t="inlineStr">
        <is>
          <t>CHART 7: receipts per vote received</t>
        </is>
      </c>
    </row>
    <row r="45">
      <c r="R45" s="36" t="inlineStr">
        <is>
          <t>Candidate</t>
        </is>
      </c>
      <c r="S45" s="36" t="inlineStr">
        <is>
          <t>Receipts per vote</t>
        </is>
      </c>
    </row>
    <row r="46">
      <c r="R46" s="5" t="inlineStr">
        <is>
          <t>2018 Wild (D)</t>
        </is>
      </c>
      <c r="S46" s="77">
        <f>History!R6</f>
        <v/>
      </c>
    </row>
    <row r="47">
      <c r="R47" s="5" t="inlineStr">
        <is>
          <t>2018 Nothstein (R)</t>
        </is>
      </c>
      <c r="S47" s="77">
        <f>History!R7</f>
        <v/>
      </c>
    </row>
    <row r="48">
      <c r="R48" s="5" t="inlineStr">
        <is>
          <t>2020 Wild (D)</t>
        </is>
      </c>
      <c r="S48" s="77">
        <f>History!R8</f>
        <v/>
      </c>
    </row>
    <row r="49">
      <c r="R49" s="5" t="inlineStr">
        <is>
          <t>2020 Scheller (R)</t>
        </is>
      </c>
      <c r="S49" s="77">
        <f>History!R9</f>
        <v/>
      </c>
    </row>
    <row r="50">
      <c r="R50" s="5" t="inlineStr">
        <is>
          <t>2022 Wild (D)</t>
        </is>
      </c>
      <c r="S50" s="77">
        <f>History!R10</f>
        <v/>
      </c>
    </row>
    <row r="51">
      <c r="R51" s="5" t="inlineStr">
        <is>
          <t>2022 Scheller (R)</t>
        </is>
      </c>
      <c r="S51" s="77">
        <f>History!R11</f>
        <v/>
      </c>
    </row>
    <row r="52">
      <c r="R52" s="5" t="inlineStr">
        <is>
          <t>2024 Wild (D)</t>
        </is>
      </c>
      <c r="S52" s="77">
        <f>History!R12</f>
        <v/>
      </c>
    </row>
    <row r="53">
      <c r="R53" s="5" t="inlineStr">
        <is>
          <t>2024 Mackenzie (R)</t>
        </is>
      </c>
      <c r="S53" s="77">
        <f>History!R13</f>
        <v/>
      </c>
    </row>
  </sheetData>
  <pageMargins left="0.75" right="0.75" top="1" bottom="1" header="0.5" footer="0.5"/>
  <drawing xmlns:r="http://schemas.openxmlformats.org/officeDocument/2006/relationships" r:id="rId1"/>
</worksheet>
</file>

<file path=xl/worksheets/sheet12.xml><?xml version="1.0" encoding="utf-8"?>
<worksheet xmlns="http://schemas.openxmlformats.org/spreadsheetml/2006/main">
  <sheetPr>
    <tabColor rgb="001F3864"/>
    <outlinePr summaryBelow="1" summaryRight="1"/>
    <pageSetUpPr/>
  </sheetPr>
  <dimension ref="A1:H36"/>
  <sheetViews>
    <sheetView workbookViewId="0">
      <selection activeCell="A1" sqref="A1"/>
    </sheetView>
  </sheetViews>
  <sheetFormatPr baseColWidth="8" defaultRowHeight="15"/>
  <cols>
    <col width="46" customWidth="1" min="1" max="1"/>
    <col width="16" customWidth="1" min="2" max="2"/>
    <col width="16" customWidth="1" min="3" max="3"/>
    <col width="16" customWidth="1" min="4" max="4"/>
    <col width="16" customWidth="1" min="5" max="5"/>
    <col width="16" customWidth="1" min="6" max="6"/>
    <col width="15" customWidth="1" min="7" max="7"/>
    <col width="15" customWidth="1" min="8" max="8"/>
  </cols>
  <sheetData>
    <row r="1">
      <c r="A1" s="1" t="inlineStr">
        <is>
          <t>Does money predict the result in PA-07?</t>
        </is>
      </c>
    </row>
    <row r="2">
      <c r="A2" s="2" t="inlineStr">
        <is>
          <t>Four elections. The Democratic side's share of money against its share of the two-party vote. Links to the History sheet.</t>
        </is>
      </c>
    </row>
    <row r="4" ht="18" customHeight="1">
      <c r="A4" s="3" t="inlineStr">
        <is>
          <t>CYCLE SUMMARY</t>
        </is>
      </c>
      <c r="B4" s="4" t="n"/>
      <c r="C4" s="4" t="n"/>
      <c r="D4" s="4" t="n"/>
      <c r="E4" s="4" t="n"/>
      <c r="F4" s="4" t="n"/>
      <c r="G4" s="4" t="n"/>
      <c r="H4" s="4" t="n"/>
    </row>
    <row r="5" ht="32" customHeight="1">
      <c r="A5" s="10" t="inlineStr">
        <is>
          <t>Election cycle</t>
        </is>
      </c>
      <c r="B5" s="10" t="inlineStr">
        <is>
          <t>D candidate receipts</t>
        </is>
      </c>
      <c r="C5" s="10" t="inlineStr">
        <is>
          <t>R candidate receipts</t>
        </is>
      </c>
      <c r="D5" s="10" t="inlineStr">
        <is>
          <t>D share of candidate receipts</t>
        </is>
      </c>
      <c r="E5" s="10" t="inlineStr">
        <is>
          <t>D side, candidate plus aligned outside</t>
        </is>
      </c>
      <c r="F5" s="10" t="inlineStr">
        <is>
          <t>R side, candidate plus aligned outside</t>
        </is>
      </c>
      <c r="G5" s="10" t="inlineStr">
        <is>
          <t>D share of all aligned money</t>
        </is>
      </c>
      <c r="H5" s="10" t="inlineStr">
        <is>
          <t>D two-party vote share</t>
        </is>
      </c>
    </row>
    <row r="6">
      <c r="A6" s="11" t="n">
        <v>2018</v>
      </c>
      <c r="B6" s="12">
        <f>SUMIFS(History!$G$6:$G$13,History!$A$6:$A$13,$A6,History!$E$6:$E$13,"DEM")</f>
        <v/>
      </c>
      <c r="C6" s="12">
        <f>SUMIFS(History!$G$6:$G$13,History!$A$6:$A$13,$A6,History!$E$6:$E$13,"REP")</f>
        <v/>
      </c>
      <c r="D6" s="67">
        <f>IF(B6+C6=0,"",B6/(B6+C6))</f>
        <v/>
      </c>
      <c r="E6" s="12">
        <f>SUMIFS(History!$N$6:$N$13,History!$A$6:$A$13,$A6,History!$E$6:$E$13,"DEM")</f>
        <v/>
      </c>
      <c r="F6" s="12">
        <f>SUMIFS(History!$N$6:$N$13,History!$A$6:$A$13,$A6,History!$E$6:$E$13,"REP")</f>
        <v/>
      </c>
      <c r="G6" s="67">
        <f>IF(E6+F6=0,"",E6/(E6+F6))</f>
        <v/>
      </c>
      <c r="H6" s="26">
        <f>SUMIFS(History!$P$6:$P$13,History!$A$6:$A$13,$A6,History!$E$6:$E$13,"DEM")</f>
        <v/>
      </c>
    </row>
    <row r="7">
      <c r="A7" s="11" t="n">
        <v>2020</v>
      </c>
      <c r="B7" s="12">
        <f>SUMIFS(History!$G$6:$G$13,History!$A$6:$A$13,$A7,History!$E$6:$E$13,"DEM")</f>
        <v/>
      </c>
      <c r="C7" s="12">
        <f>SUMIFS(History!$G$6:$G$13,History!$A$6:$A$13,$A7,History!$E$6:$E$13,"REP")</f>
        <v/>
      </c>
      <c r="D7" s="67">
        <f>IF(B7+C7=0,"",B7/(B7+C7))</f>
        <v/>
      </c>
      <c r="E7" s="12">
        <f>SUMIFS(History!$N$6:$N$13,History!$A$6:$A$13,$A7,History!$E$6:$E$13,"DEM")</f>
        <v/>
      </c>
      <c r="F7" s="12">
        <f>SUMIFS(History!$N$6:$N$13,History!$A$6:$A$13,$A7,History!$E$6:$E$13,"REP")</f>
        <v/>
      </c>
      <c r="G7" s="67">
        <f>IF(E7+F7=0,"",E7/(E7+F7))</f>
        <v/>
      </c>
      <c r="H7" s="26">
        <f>SUMIFS(History!$P$6:$P$13,History!$A$6:$A$13,$A7,History!$E$6:$E$13,"DEM")</f>
        <v/>
      </c>
    </row>
    <row r="8">
      <c r="A8" s="11" t="n">
        <v>2022</v>
      </c>
      <c r="B8" s="12">
        <f>SUMIFS(History!$G$6:$G$13,History!$A$6:$A$13,$A8,History!$E$6:$E$13,"DEM")</f>
        <v/>
      </c>
      <c r="C8" s="12">
        <f>SUMIFS(History!$G$6:$G$13,History!$A$6:$A$13,$A8,History!$E$6:$E$13,"REP")</f>
        <v/>
      </c>
      <c r="D8" s="67">
        <f>IF(B8+C8=0,"",B8/(B8+C8))</f>
        <v/>
      </c>
      <c r="E8" s="12">
        <f>SUMIFS(History!$N$6:$N$13,History!$A$6:$A$13,$A8,History!$E$6:$E$13,"DEM")</f>
        <v/>
      </c>
      <c r="F8" s="12">
        <f>SUMIFS(History!$N$6:$N$13,History!$A$6:$A$13,$A8,History!$E$6:$E$13,"REP")</f>
        <v/>
      </c>
      <c r="G8" s="67">
        <f>IF(E8+F8=0,"",E8/(E8+F8))</f>
        <v/>
      </c>
      <c r="H8" s="26">
        <f>SUMIFS(History!$P$6:$P$13,History!$A$6:$A$13,$A8,History!$E$6:$E$13,"DEM")</f>
        <v/>
      </c>
    </row>
    <row r="9">
      <c r="A9" s="11" t="n">
        <v>2024</v>
      </c>
      <c r="B9" s="12">
        <f>SUMIFS(History!$G$6:$G$13,History!$A$6:$A$13,$A9,History!$E$6:$E$13,"DEM")</f>
        <v/>
      </c>
      <c r="C9" s="12">
        <f>SUMIFS(History!$G$6:$G$13,History!$A$6:$A$13,$A9,History!$E$6:$E$13,"REP")</f>
        <v/>
      </c>
      <c r="D9" s="67">
        <f>IF(B9+C9=0,"",B9/(B9+C9))</f>
        <v/>
      </c>
      <c r="E9" s="12">
        <f>SUMIFS(History!$N$6:$N$13,History!$A$6:$A$13,$A9,History!$E$6:$E$13,"DEM")</f>
        <v/>
      </c>
      <c r="F9" s="12">
        <f>SUMIFS(History!$N$6:$N$13,History!$A$6:$A$13,$A9,History!$E$6:$E$13,"REP")</f>
        <v/>
      </c>
      <c r="G9" s="67">
        <f>IF(E9+F9=0,"",E9/(E9+F9))</f>
        <v/>
      </c>
      <c r="H9" s="26">
        <f>SUMIFS(History!$P$6:$P$13,History!$A$6:$A$13,$A9,History!$E$6:$E$13,"DEM")</f>
        <v/>
      </c>
    </row>
    <row r="11" ht="18" customHeight="1">
      <c r="A11" s="3" t="inlineStr">
        <is>
          <t>CORRELATION AND LINEAR REGRESSION</t>
        </is>
      </c>
      <c r="B11" s="4" t="n"/>
      <c r="C11" s="4" t="n"/>
      <c r="D11" s="4" t="n"/>
      <c r="E11" s="4" t="n"/>
      <c r="F11" s="4" t="n"/>
      <c r="G11" s="4" t="n"/>
      <c r="H11" s="4" t="n"/>
    </row>
    <row r="12" ht="32" customHeight="1">
      <c r="A12" s="10" t="inlineStr">
        <is>
          <t>Statistic</t>
        </is>
      </c>
      <c r="B12" s="10" t="inlineStr">
        <is>
          <t>Model A: candidate receipts only</t>
        </is>
      </c>
      <c r="C12" s="10" t="inlineStr">
        <is>
          <t>Model B: candidate plus outside money</t>
        </is>
      </c>
      <c r="D12" s="10" t="inlineStr"/>
      <c r="E12" s="10" t="inlineStr"/>
      <c r="F12" s="10" t="inlineStr"/>
      <c r="G12" s="10" t="inlineStr"/>
      <c r="H12" s="10" t="inlineStr"/>
    </row>
    <row r="13">
      <c r="A13" s="14" t="inlineStr">
        <is>
          <t>Observations (n)</t>
        </is>
      </c>
      <c r="B13" s="78">
        <f>COUNT(H6:H9)</f>
        <v/>
      </c>
      <c r="C13" s="78">
        <f>COUNT(H6:H9)</f>
        <v/>
      </c>
    </row>
    <row r="14">
      <c r="A14" s="14" t="inlineStr">
        <is>
          <t>Pearson correlation r</t>
        </is>
      </c>
      <c r="B14" s="79">
        <f>IFERROR(CORREL(D6:D9,H6:H9),"")</f>
        <v/>
      </c>
      <c r="C14" s="79">
        <f>IFERROR(CORREL(G6:G9,H6:H9),"")</f>
        <v/>
      </c>
    </row>
    <row r="15">
      <c r="A15" s="14" t="inlineStr">
        <is>
          <t>R squared (variance explained)</t>
        </is>
      </c>
      <c r="B15" s="80">
        <f>IFERROR(RSQ(H6:H9,D6:D9),"")</f>
        <v/>
      </c>
      <c r="C15" s="80">
        <f>IFERROR(RSQ(H6:H9,G6:G9),"")</f>
        <v/>
      </c>
    </row>
    <row r="16">
      <c r="A16" s="14" t="inlineStr">
        <is>
          <t>Slope (change in vote share per 1.0 of money share)</t>
        </is>
      </c>
      <c r="B16" s="79">
        <f>IFERROR(SLOPE(H6:H9,D6:D9),"")</f>
        <v/>
      </c>
      <c r="C16" s="79">
        <f>IFERROR(SLOPE(H6:H9,G6:G9),"")</f>
        <v/>
      </c>
    </row>
    <row r="17">
      <c r="A17" s="14" t="inlineStr">
        <is>
          <t>Intercept</t>
        </is>
      </c>
      <c r="B17" s="80">
        <f>IFERROR(INTERCEPT(H6:H9,D6:D9),"")</f>
        <v/>
      </c>
      <c r="C17" s="80">
        <f>IFERROR(INTERCEPT(H6:H9,G6:G9),"")</f>
        <v/>
      </c>
    </row>
    <row r="18">
      <c r="A18" s="14" t="inlineStr">
        <is>
          <t>Standard error of the slope</t>
        </is>
      </c>
      <c r="B18" s="81">
        <f>IFERROR(STEYX(H6:H9,D6:D9)/SQRT(DEVSQ(D6:D9)),"")</f>
        <v/>
      </c>
      <c r="C18" s="81">
        <f>IFERROR(STEYX(H6:H9,G6:G9)/SQRT(DEVSQ(G6:G9)),"")</f>
        <v/>
      </c>
    </row>
    <row r="19">
      <c r="A19" s="14" t="inlineStr">
        <is>
          <t>t-statistic for the slope</t>
        </is>
      </c>
      <c r="B19" s="79">
        <f>IF(AND(ISNUMBER(B16),ISNUMBER(B18),B18&lt;&gt;0),B16/B18,"")</f>
        <v/>
      </c>
      <c r="C19" s="79">
        <f>IF(AND(ISNUMBER(C16),ISNUMBER(C18),C18&lt;&gt;0),C16/C18,"")</f>
        <v/>
      </c>
    </row>
    <row r="20">
      <c r="A20" s="14" t="inlineStr">
        <is>
          <t>p-value (two-tailed)</t>
        </is>
      </c>
      <c r="B20" s="82">
        <f>IF(AND(ISNUMBER(B19),B21&gt;0),IFERROR(TDIST(ABS(B19),B21,2),""),"")</f>
        <v/>
      </c>
      <c r="C20" s="82">
        <f>IF(AND(ISNUMBER(C19),C21&gt;0),IFERROR(TDIST(ABS(C19),C21,2),""),"")</f>
        <v/>
      </c>
    </row>
    <row r="21">
      <c r="A21" s="14" t="inlineStr">
        <is>
          <t>Degrees of freedom</t>
        </is>
      </c>
      <c r="B21" s="78">
        <f>IF(ISNUMBER(B13),B13-2,"")</f>
        <v/>
      </c>
      <c r="C21" s="78">
        <f>IF(ISNUMBER(C13),C13-2,"")</f>
        <v/>
      </c>
    </row>
    <row r="22">
      <c r="A22" s="11" t="inlineStr">
        <is>
          <t>Statistically significant at p &lt; 0.05?</t>
        </is>
      </c>
      <c r="B22" s="83">
        <f>IF(ISNUMBER(B20),IF(B20&lt;0.05,"yes","no: cannot reject the null"),"")</f>
        <v/>
      </c>
      <c r="C22" s="83">
        <f>IF(ISNUMBER(C20),IF(C20&lt;0.05,"yes","no: cannot reject the null"),"")</f>
        <v/>
      </c>
    </row>
    <row r="24" ht="18" customHeight="1">
      <c r="A24" s="3" t="inlineStr">
        <is>
          <t>MODEL B: FITTED VALUES AND RESIDUALS</t>
        </is>
      </c>
      <c r="B24" s="4" t="n"/>
      <c r="C24" s="4" t="n"/>
      <c r="D24" s="4" t="n"/>
      <c r="E24" s="4" t="n"/>
      <c r="F24" s="4" t="n"/>
      <c r="G24" s="4" t="n"/>
      <c r="H24" s="4" t="n"/>
    </row>
    <row r="25" ht="32" customHeight="1">
      <c r="A25" s="10" t="inlineStr">
        <is>
          <t>Election cycle</t>
        </is>
      </c>
      <c r="B25" s="10" t="inlineStr">
        <is>
          <t>Actual D two-party vote share</t>
        </is>
      </c>
      <c r="C25" s="10" t="inlineStr">
        <is>
          <t>Predicted by Model B</t>
        </is>
      </c>
      <c r="D25" s="10" t="inlineStr">
        <is>
          <t>Residual (actual minus predicted)</t>
        </is>
      </c>
      <c r="E25" s="10" t="inlineStr">
        <is>
          <t>D share of all aligned money</t>
        </is>
      </c>
      <c r="F25" s="10" t="inlineStr"/>
      <c r="G25" s="10" t="inlineStr"/>
      <c r="H25" s="10" t="inlineStr"/>
    </row>
    <row r="26">
      <c r="A26" s="23">
        <f>A6</f>
        <v/>
      </c>
      <c r="B26" s="26">
        <f>H6</f>
        <v/>
      </c>
      <c r="C26" s="67">
        <f>IF(AND(ISNUMBER($C$17),ISNUMBER($C$16),ISNUMBER(E26)),$C$17+$C$16*E26,"")</f>
        <v/>
      </c>
      <c r="D26" s="84">
        <f>IF(AND(ISNUMBER(B26),ISNUMBER(C26)),B26-C26,"")</f>
        <v/>
      </c>
      <c r="E26" s="26">
        <f>G6</f>
        <v/>
      </c>
    </row>
    <row r="27">
      <c r="A27" s="23">
        <f>A7</f>
        <v/>
      </c>
      <c r="B27" s="26">
        <f>H7</f>
        <v/>
      </c>
      <c r="C27" s="67">
        <f>IF(AND(ISNUMBER($C$17),ISNUMBER($C$16),ISNUMBER(E27)),$C$17+$C$16*E27,"")</f>
        <v/>
      </c>
      <c r="D27" s="84">
        <f>IF(AND(ISNUMBER(B27),ISNUMBER(C27)),B27-C27,"")</f>
        <v/>
      </c>
      <c r="E27" s="26">
        <f>G7</f>
        <v/>
      </c>
    </row>
    <row r="28">
      <c r="A28" s="23">
        <f>A8</f>
        <v/>
      </c>
      <c r="B28" s="26">
        <f>H8</f>
        <v/>
      </c>
      <c r="C28" s="67">
        <f>IF(AND(ISNUMBER($C$17),ISNUMBER($C$16),ISNUMBER(E28)),$C$17+$C$16*E28,"")</f>
        <v/>
      </c>
      <c r="D28" s="84">
        <f>IF(AND(ISNUMBER(B28),ISNUMBER(C28)),B28-C28,"")</f>
        <v/>
      </c>
      <c r="E28" s="26">
        <f>G8</f>
        <v/>
      </c>
    </row>
    <row r="29">
      <c r="A29" s="23">
        <f>A9</f>
        <v/>
      </c>
      <c r="B29" s="26">
        <f>H9</f>
        <v/>
      </c>
      <c r="C29" s="67">
        <f>IF(AND(ISNUMBER($C$17),ISNUMBER($C$16),ISNUMBER(E29)),$C$17+$C$16*E29,"")</f>
        <v/>
      </c>
      <c r="D29" s="84">
        <f>IF(AND(ISNUMBER(B29),ISNUMBER(C29)),B29-C29,"")</f>
        <v/>
      </c>
      <c r="E29" s="26">
        <f>G9</f>
        <v/>
      </c>
    </row>
    <row r="31" ht="18" customHeight="1">
      <c r="A31" s="3" t="inlineStr">
        <is>
          <t>WHAT THIS DOES AND DOES NOT ESTABLISH</t>
        </is>
      </c>
      <c r="B31" s="4" t="n"/>
      <c r="C31" s="4" t="n"/>
      <c r="D31" s="4" t="n"/>
      <c r="E31" s="4" t="n"/>
      <c r="F31" s="4" t="n"/>
      <c r="G31" s="4" t="n"/>
      <c r="H31" s="4" t="n"/>
    </row>
    <row r="32" ht="56" customHeight="1">
      <c r="A32" s="30" t="inlineStr">
        <is>
          <t>n = 4. This cannot support a statistical claim. With four elections and two fitted parameters there are two degrees of freedom, and the confidence interval on the slope is wider than any effect it could detect. The regression is reported because it was asked for and because it disciplines the description, not because it licenses an inference. Treat every figure above as descriptive.</t>
        </is>
      </c>
      <c r="B32" s="31" t="n"/>
      <c r="C32" s="31" t="n"/>
      <c r="D32" s="31" t="n"/>
      <c r="E32" s="31" t="n"/>
      <c r="F32" s="31" t="n"/>
      <c r="G32" s="31" t="n"/>
      <c r="H32" s="31" t="n"/>
    </row>
    <row r="33" ht="56" customHeight="1">
      <c r="A33" s="30" t="inlineStr">
        <is>
          <t>Model A is the one that matters, and it finds nothing. The Democratic share of candidate fundraising has essentially no relationship to the Democratic share of the vote in this district (R squared near zero). 2024 is decisive on its own: Susan Wild raised 83% of all candidate money in the race and lost it.</t>
        </is>
      </c>
      <c r="B33" s="31" t="n"/>
      <c r="C33" s="31" t="n"/>
      <c r="D33" s="31" t="n"/>
      <c r="E33" s="31" t="n"/>
      <c r="F33" s="31" t="n"/>
      <c r="G33" s="31" t="n"/>
      <c r="H33" s="31" t="n"/>
    </row>
    <row r="34" ht="56" customHeight="1">
      <c r="A34" s="30" t="inlineStr">
        <is>
          <t>Model B does better because it counts the outside money. Once independent expenditures are added, including money spent attacking the opponent, the relationship turns positive. It is still not significant at n = 4, and the ordering is dominated by 2018, a Democratic wave year in which the Republican was barely funded.</t>
        </is>
      </c>
      <c r="B34" s="31" t="n"/>
      <c r="C34" s="31" t="n"/>
      <c r="D34" s="31" t="n"/>
      <c r="E34" s="31" t="n"/>
      <c r="F34" s="31" t="n"/>
      <c r="G34" s="31" t="n"/>
      <c r="H34" s="31" t="n"/>
    </row>
    <row r="35" ht="56" customHeight="1">
      <c r="A35" s="30" t="inlineStr">
        <is>
          <t>The causation runs both ways, and mostly backwards. Money flows toward races already expected to be close, and toward candidates already expected to win. A positive correlation is as consistent with 'donors can spot a winner' as with 'spending buys votes'. Nothing here separates the two.</t>
        </is>
      </c>
      <c r="B35" s="31" t="n"/>
      <c r="C35" s="31" t="n"/>
      <c r="D35" s="31" t="n"/>
      <c r="E35" s="31" t="n"/>
      <c r="F35" s="31" t="n"/>
      <c r="G35" s="31" t="n"/>
      <c r="H35" s="31" t="n"/>
    </row>
    <row r="36" ht="56" customHeight="1">
      <c r="A36" s="30" t="inlineStr">
        <is>
          <t>The omitted variable is the national environment. 2018 was a Democratic wave; 2024 was a Republican-leaning presidential year in a district trending right. Those two facts explain the vote-share series better than money does, and they are not in the model.</t>
        </is>
      </c>
      <c r="B36" s="31" t="n"/>
      <c r="C36" s="31" t="n"/>
      <c r="D36" s="31" t="n"/>
      <c r="E36" s="31" t="n"/>
      <c r="F36" s="31" t="n"/>
      <c r="G36" s="31" t="n"/>
      <c r="H36" s="31" t="n"/>
    </row>
  </sheetData>
  <mergeCells count="5">
    <mergeCell ref="A35:H35"/>
    <mergeCell ref="A33:H33"/>
    <mergeCell ref="A36:H36"/>
    <mergeCell ref="A32:H32"/>
    <mergeCell ref="A34:H34"/>
  </mergeCells>
  <pageMargins left="0.75" right="0.75" top="1" bottom="1" header="0.5" footer="0.5"/>
</worksheet>
</file>

<file path=xl/worksheets/sheet13.xml><?xml version="1.0" encoding="utf-8"?>
<worksheet xmlns="http://schemas.openxmlformats.org/spreadsheetml/2006/main">
  <sheetPr>
    <tabColor rgb="001F3864"/>
    <outlinePr summaryBelow="1" summaryRight="1"/>
    <pageSetUpPr/>
  </sheetPr>
  <dimension ref="A1:A37"/>
  <sheetViews>
    <sheetView workbookViewId="0">
      <selection activeCell="A1" sqref="A1"/>
    </sheetView>
  </sheetViews>
  <sheetFormatPr baseColWidth="8" defaultRowHeight="15"/>
  <cols>
    <col width="150" customWidth="1" min="1" max="1"/>
  </cols>
  <sheetData>
    <row r="1">
      <c r="A1" s="1" t="inlineStr">
        <is>
          <t>Notes, sources and known limitations</t>
        </is>
      </c>
    </row>
    <row r="3" ht="18" customHeight="1">
      <c r="A3" s="3" t="inlineStr">
        <is>
          <t>SOURCES</t>
        </is>
      </c>
    </row>
    <row r="4" ht="120" customHeight="1">
      <c r="A4" s="85" t="inlineStr">
        <is>
          <t>Current cycle: FEC / OpenFEC API, https://www.fec.gov/data/elections/house/PA/07/2026/, retrieved 2026-10-24T13:15:11Z</t>
        </is>
      </c>
    </row>
    <row r="5" ht="108" customHeight="1">
      <c r="A5" s="85" t="inlineStr">
        <is>
          <t>History, finance: OpenFEC API (finance); certified results from sources/results.json, retrieved 2026-10-24T13:15:22Z</t>
        </is>
      </c>
    </row>
    <row r="6" ht="168" customHeight="1">
      <c r="A6" s="85" t="inlineStr">
        <is>
          <t>History, 2018 results: FEC, Federal Elections 2018, '2018 US House Results by State', district '07 - FULL TERM' (https://www.fec.gov/documents/2706/federalelections2018.xlsx)</t>
        </is>
      </c>
    </row>
    <row r="7" ht="156" customHeight="1">
      <c r="A7" s="85" t="inlineStr">
        <is>
          <t>History, 2020 results: FEC, Federal Elections 2020, '13. US House Results by State', district '07' (https://www.fec.gov/documents/4228/federalelections2020.xlsx)</t>
        </is>
      </c>
    </row>
    <row r="8" ht="156" customHeight="1">
      <c r="A8" s="85" t="inlineStr">
        <is>
          <t>History, 2022 results: FEC, Federal Elections 2022, '8. US House Results by State', district '07' (https://www.fec.gov/documents/5676/federalelections2022.xlsx)</t>
        </is>
      </c>
    </row>
    <row r="9" ht="204" customHeight="1">
      <c r="A9" s="85" t="inlineStr">
        <is>
          <t>History, 2024 results: Clerk of the U.S. House, Statistics of the Congressional Election of November 5, 2024, p.61 (Pennsylvania, district 7) (https://clerk.house.gov/member_info/electionInfo/2024/statistics2024.pdf)</t>
        </is>
      </c>
    </row>
    <row r="11" ht="18" customHeight="1">
      <c r="A11" s="3" t="inlineStr">
        <is>
          <t>NOTES</t>
        </is>
      </c>
    </row>
    <row r="12" ht="216" customHeight="1">
      <c r="A12" s="32" t="inlineStr">
        <is>
          <t>- Candidate totals are cycle-to-date from each committee's most recent periodic report (FEC Form 3). Independent expenditures report continuously and are usually fresher than the candidate totals; the two are not as of the same date.</t>
        </is>
      </c>
    </row>
    <row r="13" ht="240" customHeight="1">
      <c r="A13" s="32" t="inlineStr">
        <is>
          <t>- Independent expenditures come from OpenFEC's schedules/schedule_e/by_candidate aggregate, FEC's own deduplication of amended and superseded filings. Summing raw itemized Schedule E lines instead would roughly double the figure and would be wrong.</t>
        </is>
      </c>
    </row>
    <row r="14" ht="132" customHeight="1">
      <c r="A14" s="32" t="inlineStr">
        <is>
          <t>- That aggregate can lag a 24-hour notice by several weeks. Spending reported by notice in the last month may not yet appear here.</t>
        </is>
      </c>
    </row>
    <row r="15" ht="144" customHeight="1">
      <c r="A15" s="32" t="inlineStr">
        <is>
          <t>- Candidates with no periodic report on file show blank fields, not $0. The FEC reports no figures for them, which is not the same as a confirmed zero.</t>
        </is>
      </c>
    </row>
    <row r="16" ht="264" customHeight="1">
      <c r="A16" s="32" t="inlineStr">
        <is>
          <t>- 'PAC contributions' is FEC's other_political_committee_contributions: money given directly to the campaign by other political committees. It is a different thing from independent expenditures, which are spent by outside groups on their own and never pass through the campaign.</t>
        </is>
      </c>
    </row>
    <row r="17" ht="120" customHeight="1">
      <c r="A17" s="32" t="inlineStr">
        <is>
          <t>- 'Self-funding' is FEC's candidate_contribution: the candidate's own money given or loaned to the campaign this cycle.</t>
        </is>
      </c>
    </row>
    <row r="18" ht="336" customHeight="1">
      <c r="A18" s="32" t="inlineStr">
        <is>
          <t>- DISTRICT BOUNDARIES CHANGED INSIDE THIS WINDOW. 2018 and 2020 were run on the 2018 PA Supreme Court remap; 2022 and 2024 on the post-2020-census remap, which added Carbon County and changed the Monroe County portion. The seat is Lehigh Valley-based throughout, so the four elections are broadly comparable, but they are not the identical electorate.</t>
        </is>
      </c>
    </row>
    <row r="19" ht="288" customHeight="1">
      <c r="A19" s="32" t="inlineStr">
        <is>
          <t>- Susan Wild's FEC candidate record is filed under district 15 for cycle 2018 (candidate_id H8PA15195-era numbering, H8PA15229), because she first filed in the pre-remap PA-15. A query of /elections/?district=07&amp;cycle=2018 therefore OMITS her entirely. Her totals here were pulled directly by candidate_id.</t>
        </is>
      </c>
    </row>
    <row r="20" ht="300" customHeight="1">
      <c r="A20" s="32" t="inlineStr">
        <is>
          <t>- In 2018 Wild simultaneously contested the FULL TERM in the new PA-07 and the UNEXPIRED TERM special election in the old PA-15 (both on 2018-11-06). Her single committee funded both, so her 2018 receipts are not a clean 'PA-07 general election' figure. The vote total used here is the FULL TERM (new PA-07) race.</t>
        </is>
      </c>
    </row>
    <row r="21" ht="216" customHeight="1">
      <c r="A21" s="32" t="inlineStr">
        <is>
          <t>- 'Other votes' are third-party and scattered write-in votes reported in the official results. 2018 included a Libertarian (Tim Silfies) who took 3.0% of the vote; the other three cycles were effectively two-candidate races.</t>
        </is>
      </c>
    </row>
    <row r="22" ht="240" customHeight="1">
      <c r="A22" s="32" t="inlineStr">
        <is>
          <t>- Two-party vote share (used for the correlation and regression) is a candidate's votes divided by the sum of the Democratic and Republican votes only. This is the standard comparable measure when third-party presence varies across years, as it does here.</t>
        </is>
      </c>
    </row>
    <row r="23" ht="204" customHeight="1">
      <c r="A23" s="32" t="inlineStr">
        <is>
          <t>- The Clerk of the House summary for 2024 lists only the two major-party nominees and reports no all-candidate district total. Third-party and write-in votes for 2024 are therefore unknown and recorded as null, not zero.</t>
        </is>
      </c>
    </row>
    <row r="24" ht="144" customHeight="1">
      <c r="A24" s="32" t="inlineStr">
        <is>
          <t>- Finance figures are full-cycle totals through 31 December of the election year and are final, unlike the current-cycle figures, which are mid-cycle.</t>
        </is>
      </c>
    </row>
    <row r="25" ht="204" customHeight="1">
      <c r="A25" s="32" t="inlineStr">
        <is>
          <t>- In 2018 Susan Wild's single committee financed two concurrent races (the PA-07 full term and the PA-15 unexpired term), so her 2018 receipts are not a clean PA-07 figure. The vote total used is the full-term race.</t>
        </is>
      </c>
    </row>
    <row r="26" ht="204" customHeight="1">
      <c r="A26" s="32" t="inlineStr">
        <is>
          <t>- Spending categories are assigned from the description each campaign wrote on its report, using ordered keyword rules (classify.py). The FEC's own purpose field files more than half of this spending as OTHER.</t>
        </is>
      </c>
    </row>
    <row r="27" ht="108" customHeight="1">
      <c r="A27" s="32" t="inlineStr">
        <is>
          <t>- Memo sub-itemizations are excluded from spending, so the total equals FEC's by_purpose figure exactly.</t>
        </is>
      </c>
    </row>
    <row r="28" ht="276" customHeight="1">
      <c r="A28" s="32" t="inlineStr">
        <is>
          <t>- Contribution figures are FEC aggregates of itemized contributions, those over $200. They include contributions routed through a joint fundraising committee, so a candidate whose receipts include a large transfer will show a by-state total above the committee's own individual-contribution line.</t>
        </is>
      </c>
    </row>
    <row r="29" ht="144" customHeight="1">
      <c r="A29" s="32" t="inlineStr">
        <is>
          <t>- In-district is approximate: contributions from zip codes beginning 180 to 183 (Lehigh Valley and the Poconos). The FEC records no district for a donor.</t>
        </is>
      </c>
    </row>
    <row r="31" ht="18" customHeight="1">
      <c r="A31" s="3" t="inlineStr">
        <is>
          <t>METHOD</t>
        </is>
      </c>
    </row>
    <row r="32" ht="132" customHeight="1">
      <c r="A32" s="32" t="inlineStr">
        <is>
          <t>- Candidate lookups use INDEX/MATCH keyed to the candidate name, never a row position; the FEC returns candidates in no guaranteed order.</t>
        </is>
      </c>
    </row>
    <row r="33" ht="72" customHeight="1">
      <c r="A33" s="32" t="inlineStr">
        <is>
          <t>- Candidates who have never filed are left blank rather than set to $0.</t>
        </is>
      </c>
    </row>
    <row r="34" ht="84" customHeight="1">
      <c r="A34" s="32" t="inlineStr">
        <is>
          <t>- Arithmetic that could read a blank cell as zero is guarded with ISNUMBER on both sides.</t>
        </is>
      </c>
    </row>
    <row r="35" ht="156" customHeight="1">
      <c r="A35" s="32" t="inlineStr">
        <is>
          <t>- 'Other / unclassified' on Candidate Totals is a residual formula. The reconciliation row on Money Sources proves the components sum exactly to reported receipts.</t>
        </is>
      </c>
    </row>
    <row r="36" ht="84" customHeight="1">
      <c r="A36" s="32" t="inlineStr">
        <is>
          <t>- Independent expenditures are OpenFEC's deduplicated by_candidate aggregates.</t>
        </is>
      </c>
    </row>
    <row r="37" ht="96" customHeight="1">
      <c r="A37" s="32" t="inlineStr">
        <is>
          <t>- This workbook is rebuilt from sources/ on every scheduled run of the pa07-finance repository.</t>
        </is>
      </c>
    </row>
  </sheetData>
  <mergeCells count="30">
    <mergeCell ref="A8"/>
    <mergeCell ref="A22"/>
    <mergeCell ref="A17"/>
    <mergeCell ref="A35"/>
    <mergeCell ref="A4"/>
    <mergeCell ref="A29"/>
    <mergeCell ref="A20"/>
    <mergeCell ref="A28"/>
    <mergeCell ref="A19"/>
    <mergeCell ref="A13"/>
    <mergeCell ref="A34"/>
    <mergeCell ref="A9"/>
    <mergeCell ref="A15"/>
    <mergeCell ref="A24"/>
    <mergeCell ref="A36"/>
    <mergeCell ref="A6"/>
    <mergeCell ref="A7"/>
    <mergeCell ref="A25"/>
    <mergeCell ref="A16"/>
    <mergeCell ref="A37"/>
    <mergeCell ref="A27"/>
    <mergeCell ref="A12"/>
    <mergeCell ref="A18"/>
    <mergeCell ref="A26"/>
    <mergeCell ref="A21"/>
    <mergeCell ref="A33"/>
    <mergeCell ref="A14"/>
    <mergeCell ref="A5"/>
    <mergeCell ref="A23"/>
    <mergeCell ref="A3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2026-10-24T13:15:22Z</dcterms:created>
  <dcterms:modified xsi:type="dcterms:W3CDTF">2026-10-24T13:15:22Z</dcterms:modified>
</cp:coreProperties>
</file>