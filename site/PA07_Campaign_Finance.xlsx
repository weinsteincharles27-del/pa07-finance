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Data'!$A$4:$M$482</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'Charts'!$R$72:$R$80</f>
            </numRef>
          </cat>
          <val>
            <numRef>
              <f>'Charts'!$S$72:$S$80</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2026-06-30</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2026-09-28T23:32:20Z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Money'!D36</f>
        <v/>
      </c>
      <c r="C21" s="20" t="n"/>
      <c r="D21" s="21">
        <f>'Outside Money'!D44</f>
        <v/>
      </c>
    </row>
    <row r="22">
      <c r="A22" s="14" t="inlineStr">
        <is>
          <t>Ryan Mackenzie, supports</t>
        </is>
      </c>
      <c r="B22" s="12">
        <f>'Outside Money'!C40</f>
        <v/>
      </c>
      <c r="C22" s="22">
        <f>IFERROR(B22/$B$21,"")</f>
        <v/>
      </c>
      <c r="D22" s="23">
        <f>'Outside Money'!D40</f>
        <v/>
      </c>
    </row>
    <row r="23">
      <c r="A23" s="14" t="inlineStr">
        <is>
          <t>Ryan Mackenzie, opposes</t>
        </is>
      </c>
      <c r="B23" s="12">
        <f>'Outside Money'!C41</f>
        <v/>
      </c>
      <c r="C23" s="22">
        <f>IFERROR(B23/$B$21,"")</f>
        <v/>
      </c>
      <c r="D23" s="23">
        <f>'Outside Money'!D41</f>
        <v/>
      </c>
    </row>
    <row r="24">
      <c r="A24" s="14" t="inlineStr">
        <is>
          <t>Bob Brooks, supports</t>
        </is>
      </c>
      <c r="B24" s="12">
        <f>'Outside Money'!C42</f>
        <v/>
      </c>
      <c r="C24" s="22">
        <f>IFERROR(B24/$B$21,"")</f>
        <v/>
      </c>
      <c r="D24" s="23">
        <f>'Outside Money'!D42</f>
        <v/>
      </c>
    </row>
    <row r="25">
      <c r="A25" s="14" t="inlineStr">
        <is>
          <t>Bob Brooks, opposes</t>
        </is>
      </c>
      <c r="B25" s="12">
        <f>'Outside Money'!C43</f>
        <v/>
      </c>
      <c r="C25" s="22">
        <f>IFERROR(B25/$B$21,"")</f>
        <v/>
      </c>
      <c r="D25" s="23">
        <f>'Outside Money'!D43</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482"/>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2392215.23</v>
      </c>
      <c r="L5" s="34" t="n"/>
      <c r="M5" s="5" t="inlineStr">
        <is>
          <t>2026-06-30</t>
        </is>
      </c>
    </row>
    <row r="6">
      <c r="A6" s="5" t="inlineStr">
        <is>
          <t>candidate_totals</t>
        </is>
      </c>
      <c r="B6" s="5" t="n">
        <v>2026</v>
      </c>
      <c r="C6" s="5" t="inlineStr">
        <is>
          <t>Bob Brooks</t>
        </is>
      </c>
      <c r="D6" s="5" t="inlineStr">
        <is>
          <t>DEM</t>
        </is>
      </c>
      <c r="E6" s="5" t="n"/>
      <c r="F6" s="5" t="n"/>
      <c r="G6" s="5" t="inlineStr">
        <is>
          <t>Disbursements</t>
        </is>
      </c>
      <c r="H6" s="5" t="n"/>
      <c r="I6" s="5" t="n"/>
      <c r="J6" s="5" t="n"/>
      <c r="K6" s="33" t="n">
        <v>1373792.39</v>
      </c>
      <c r="L6" s="34" t="n"/>
      <c r="M6" s="5" t="inlineStr">
        <is>
          <t>2026-06-30</t>
        </is>
      </c>
    </row>
    <row r="7">
      <c r="A7" s="5" t="inlineStr">
        <is>
          <t>candidate_totals</t>
        </is>
      </c>
      <c r="B7" s="5" t="n">
        <v>2026</v>
      </c>
      <c r="C7" s="5" t="inlineStr">
        <is>
          <t>Bob Brooks</t>
        </is>
      </c>
      <c r="D7" s="5" t="inlineStr">
        <is>
          <t>DEM</t>
        </is>
      </c>
      <c r="E7" s="5" t="n"/>
      <c r="F7" s="5" t="n"/>
      <c r="G7" s="5" t="inlineStr">
        <is>
          <t>Cash on hand</t>
        </is>
      </c>
      <c r="H7" s="5" t="n"/>
      <c r="I7" s="5" t="n"/>
      <c r="J7" s="5" t="n"/>
      <c r="K7" s="33" t="n">
        <v>1018422.84</v>
      </c>
      <c r="L7" s="34" t="n"/>
      <c r="M7" s="5" t="inlineStr">
        <is>
          <t>2026-06-30</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2026-06-30</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1942165.53</v>
      </c>
      <c r="L9" s="34" t="n"/>
      <c r="M9" s="5" t="inlineStr">
        <is>
          <t>2026-06-30</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1342778.75</v>
      </c>
      <c r="L10" s="34" t="n"/>
      <c r="M10" s="5" t="inlineStr">
        <is>
          <t>2026-06-30</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599386.78</v>
      </c>
      <c r="L11" s="34" t="n"/>
      <c r="M11" s="5" t="inlineStr">
        <is>
          <t>2026-06-30</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403000.03</v>
      </c>
      <c r="L12" s="34" t="n"/>
      <c r="M12" s="5" t="inlineStr">
        <is>
          <t>2026-06-30</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5000</v>
      </c>
      <c r="L13" s="34" t="n"/>
      <c r="M13" s="5" t="inlineStr">
        <is>
          <t>2026-06-30</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26085</v>
      </c>
      <c r="L14" s="34" t="n"/>
      <c r="M14" s="5" t="inlineStr">
        <is>
          <t>2026-06-30</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2026-06-30</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4357405.11</v>
      </c>
      <c r="L16" s="34" t="n"/>
      <c r="M16" s="5" t="inlineStr">
        <is>
          <t>2026-06-30</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1521927.85</v>
      </c>
      <c r="L17" s="34" t="n"/>
      <c r="M17" s="5" t="inlineStr">
        <is>
          <t>2026-06-30</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2938717.17</v>
      </c>
      <c r="L18" s="34" t="n"/>
      <c r="M18" s="5" t="inlineStr">
        <is>
          <t>2026-06-30</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22583.23</v>
      </c>
      <c r="L19" s="34" t="n"/>
      <c r="M19" s="5" t="inlineStr">
        <is>
          <t>2026-06-30</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1493241.01</v>
      </c>
      <c r="L20" s="34" t="n"/>
      <c r="M20" s="5" t="inlineStr">
        <is>
          <t>2026-06-30</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939107.04</v>
      </c>
      <c r="L21" s="34" t="n"/>
      <c r="M21" s="5" t="inlineStr">
        <is>
          <t>2026-06-30</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554133.97</v>
      </c>
      <c r="L22" s="34" t="n"/>
      <c r="M22" s="5" t="inlineStr">
        <is>
          <t>2026-06-30</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1042912.78</v>
      </c>
      <c r="L23" s="34" t="n"/>
      <c r="M23" s="5" t="inlineStr">
        <is>
          <t>2026-06-30</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5000</v>
      </c>
      <c r="L24" s="34" t="n"/>
      <c r="M24" s="5" t="inlineStr">
        <is>
          <t>2026-06-30</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1779199.14</v>
      </c>
      <c r="L25" s="34" t="n"/>
      <c r="M25" s="5" t="inlineStr">
        <is>
          <t>2026-06-30</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2026-06-30</t>
        </is>
      </c>
    </row>
    <row r="27">
      <c r="A27" s="5" t="inlineStr">
        <is>
          <t>outside_by_committee</t>
        </is>
      </c>
      <c r="B27" s="5" t="n">
        <v>2026</v>
      </c>
      <c r="C27" s="5" t="inlineStr">
        <is>
          <t>Bob Brooks</t>
        </is>
      </c>
      <c r="D27" s="5" t="n"/>
      <c r="E27" s="5" t="inlineStr">
        <is>
          <t>Supports</t>
        </is>
      </c>
      <c r="F27" s="5" t="n"/>
      <c r="G27" s="5" t="inlineStr">
        <is>
          <t>STRONGER TOGETHER PA</t>
        </is>
      </c>
      <c r="H27" s="5" t="n"/>
      <c r="I27" s="5" t="n"/>
      <c r="J27" s="5" t="n"/>
      <c r="K27" s="33" t="n">
        <v>1781524</v>
      </c>
      <c r="L27" s="34" t="n">
        <v>21</v>
      </c>
      <c r="M27" s="5" t="n"/>
    </row>
    <row r="28">
      <c r="A28" s="5" t="inlineStr">
        <is>
          <t>outside_by_committee</t>
        </is>
      </c>
      <c r="B28" s="5" t="n">
        <v>2026</v>
      </c>
      <c r="C28" s="5" t="inlineStr">
        <is>
          <t>Bob Brooks</t>
        </is>
      </c>
      <c r="D28" s="5" t="n"/>
      <c r="E28" s="5" t="inlineStr">
        <is>
          <t>Opposes</t>
        </is>
      </c>
      <c r="F28" s="5" t="n"/>
      <c r="G28" s="5" t="inlineStr">
        <is>
          <t>LEAD LEFT PAC</t>
        </is>
      </c>
      <c r="H28" s="5" t="n"/>
      <c r="I28" s="5" t="n"/>
      <c r="J28" s="5" t="n"/>
      <c r="K28" s="33" t="n">
        <v>312371.76</v>
      </c>
      <c r="L28" s="34" t="n">
        <v>7</v>
      </c>
      <c r="M28" s="5" t="n"/>
    </row>
    <row r="29">
      <c r="A29" s="5" t="inlineStr">
        <is>
          <t>outside_by_committee</t>
        </is>
      </c>
      <c r="B29" s="5" t="n">
        <v>2026</v>
      </c>
      <c r="C29" s="5" t="inlineStr">
        <is>
          <t>Bob Brooks</t>
        </is>
      </c>
      <c r="D29" s="5" t="n"/>
      <c r="E29" s="5" t="inlineStr">
        <is>
          <t>Supports</t>
        </is>
      </c>
      <c r="F29" s="5" t="n"/>
      <c r="G29" s="5" t="inlineStr">
        <is>
          <t>JOBS AND DEMOCRACY PAC</t>
        </is>
      </c>
      <c r="H29" s="5" t="n"/>
      <c r="I29" s="5" t="n"/>
      <c r="J29" s="5" t="n"/>
      <c r="K29" s="33" t="n">
        <v>249750</v>
      </c>
      <c r="L29" s="34" t="n">
        <v>1</v>
      </c>
      <c r="M29" s="5" t="n"/>
    </row>
    <row r="30">
      <c r="A30" s="5" t="inlineStr">
        <is>
          <t>outside_by_committee</t>
        </is>
      </c>
      <c r="B30" s="5" t="n">
        <v>2026</v>
      </c>
      <c r="C30" s="5" t="inlineStr">
        <is>
          <t>Bob Brooks</t>
        </is>
      </c>
      <c r="D30" s="5" t="n"/>
      <c r="E30" s="5" t="inlineStr">
        <is>
          <t>Supports</t>
        </is>
      </c>
      <c r="F30" s="5" t="n"/>
      <c r="G30" s="5" t="inlineStr">
        <is>
          <t>CONGRESSIONAL PROGRESSIVE CAUCUS PAC</t>
        </is>
      </c>
      <c r="H30" s="5" t="n"/>
      <c r="I30" s="5" t="n"/>
      <c r="J30" s="5" t="n"/>
      <c r="K30" s="33" t="n">
        <v>140300</v>
      </c>
      <c r="L30" s="34" t="n">
        <v>2</v>
      </c>
      <c r="M30" s="5" t="n"/>
    </row>
    <row r="31">
      <c r="A31" s="5" t="inlineStr">
        <is>
          <t>outside_by_committee</t>
        </is>
      </c>
      <c r="B31" s="5" t="n">
        <v>2026</v>
      </c>
      <c r="C31" s="5" t="inlineStr">
        <is>
          <t>Bob Brooks</t>
        </is>
      </c>
      <c r="D31" s="5" t="n"/>
      <c r="E31" s="5" t="inlineStr">
        <is>
          <t>Supports</t>
        </is>
      </c>
      <c r="F31" s="5" t="n"/>
      <c r="G31" s="5" t="inlineStr">
        <is>
          <t>MEDICARE FOR ALL</t>
        </is>
      </c>
      <c r="H31" s="5" t="n"/>
      <c r="I31" s="5" t="n"/>
      <c r="J31" s="5" t="n"/>
      <c r="K31" s="33" t="n">
        <v>99625</v>
      </c>
      <c r="L31" s="34" t="n">
        <v>2</v>
      </c>
      <c r="M31" s="5" t="n"/>
    </row>
    <row r="32">
      <c r="A32" s="5" t="inlineStr">
        <is>
          <t>outside_by_committee</t>
        </is>
      </c>
      <c r="B32" s="5" t="n">
        <v>2026</v>
      </c>
      <c r="C32" s="5" t="inlineStr">
        <is>
          <t>Bob Brooks</t>
        </is>
      </c>
      <c r="D32" s="5" t="n"/>
      <c r="E32" s="5" t="inlineStr">
        <is>
          <t>Supports</t>
        </is>
      </c>
      <c r="F32" s="5" t="n"/>
      <c r="G32" s="5" t="inlineStr">
        <is>
          <t>DLP PAC</t>
        </is>
      </c>
      <c r="H32" s="5" t="n"/>
      <c r="I32" s="5" t="n"/>
      <c r="J32" s="5" t="n"/>
      <c r="K32" s="33" t="n">
        <v>88321.5</v>
      </c>
      <c r="L32" s="34" t="n">
        <v>4</v>
      </c>
      <c r="M32" s="5" t="n"/>
    </row>
    <row r="33">
      <c r="A33" s="5" t="inlineStr">
        <is>
          <t>outside_by_committee</t>
        </is>
      </c>
      <c r="B33" s="5" t="n">
        <v>2026</v>
      </c>
      <c r="C33" s="5" t="inlineStr">
        <is>
          <t>Bob Brooks</t>
        </is>
      </c>
      <c r="D33" s="5" t="n"/>
      <c r="E33" s="5" t="inlineStr">
        <is>
          <t>Supports</t>
        </is>
      </c>
      <c r="F33" s="5" t="n"/>
      <c r="G33" s="5" t="inlineStr">
        <is>
          <t>WORKING FAMILIES PARTY PAC</t>
        </is>
      </c>
      <c r="H33" s="5" t="n"/>
      <c r="I33" s="5" t="n"/>
      <c r="J33" s="5" t="n"/>
      <c r="K33" s="33" t="n">
        <v>41020.59</v>
      </c>
      <c r="L33" s="34" t="n">
        <v>3</v>
      </c>
      <c r="M33" s="5" t="n"/>
    </row>
    <row r="34">
      <c r="A34" s="5" t="inlineStr">
        <is>
          <t>outside_by_committee</t>
        </is>
      </c>
      <c r="B34" s="5" t="n">
        <v>2026</v>
      </c>
      <c r="C34" s="5" t="inlineStr">
        <is>
          <t>Bob Brooks</t>
        </is>
      </c>
      <c r="D34" s="5" t="n"/>
      <c r="E34" s="5" t="inlineStr">
        <is>
          <t>Supports</t>
        </is>
      </c>
      <c r="F34" s="5" t="n"/>
      <c r="G34" s="5" t="inlineStr">
        <is>
          <t>MAKE THE ROAD ACTION POLITICAL COMMITTEE</t>
        </is>
      </c>
      <c r="H34" s="5" t="n"/>
      <c r="I34" s="5" t="n"/>
      <c r="J34" s="5" t="n"/>
      <c r="K34" s="33" t="n">
        <v>30559.95</v>
      </c>
      <c r="L34" s="34" t="n">
        <v>9</v>
      </c>
      <c r="M34" s="5" t="n"/>
    </row>
    <row r="35">
      <c r="A35" s="5" t="inlineStr">
        <is>
          <t>outside_by_committee</t>
        </is>
      </c>
      <c r="B35" s="5" t="n">
        <v>2026</v>
      </c>
      <c r="C35" s="5" t="inlineStr">
        <is>
          <t>Bob Brooks</t>
        </is>
      </c>
      <c r="D35" s="5" t="n"/>
      <c r="E35" s="5" t="inlineStr">
        <is>
          <t>Supports</t>
        </is>
      </c>
      <c r="F35" s="5" t="n"/>
      <c r="G35" s="5" t="inlineStr">
        <is>
          <t>BLUE MAJORITY PROJECT</t>
        </is>
      </c>
      <c r="H35" s="5" t="n"/>
      <c r="I35" s="5" t="n"/>
      <c r="J35" s="5" t="n"/>
      <c r="K35" s="33" t="n">
        <v>16643.34</v>
      </c>
      <c r="L35" s="34" t="n">
        <v>3</v>
      </c>
      <c r="M35" s="5" t="n"/>
    </row>
    <row r="36">
      <c r="A36" s="5" t="inlineStr">
        <is>
          <t>outside_by_committee</t>
        </is>
      </c>
      <c r="B36" s="5" t="n">
        <v>2026</v>
      </c>
      <c r="C36" s="5" t="inlineStr">
        <is>
          <t>Bob Brooks</t>
        </is>
      </c>
      <c r="D36" s="5" t="n"/>
      <c r="E36" s="5" t="inlineStr">
        <is>
          <t>Supports</t>
        </is>
      </c>
      <c r="F36" s="5" t="n"/>
      <c r="G36" s="5" t="inlineStr">
        <is>
          <t>BLUE BATTLEGROUND PROJECT</t>
        </is>
      </c>
      <c r="H36" s="5" t="n"/>
      <c r="I36" s="5" t="n"/>
      <c r="J36" s="5" t="n"/>
      <c r="K36" s="33" t="n">
        <v>9116.67</v>
      </c>
      <c r="L36" s="34" t="n">
        <v>1</v>
      </c>
      <c r="M36" s="5" t="n"/>
    </row>
    <row r="37">
      <c r="A37" s="5" t="inlineStr">
        <is>
          <t>outside_by_committee</t>
        </is>
      </c>
      <c r="B37" s="5" t="n">
        <v>2026</v>
      </c>
      <c r="C37" s="5" t="inlineStr">
        <is>
          <t>Bob Brooks</t>
        </is>
      </c>
      <c r="D37" s="5" t="n"/>
      <c r="E37" s="5" t="inlineStr">
        <is>
          <t>Opposes</t>
        </is>
      </c>
      <c r="F37" s="5" t="n"/>
      <c r="G37" s="5" t="inlineStr">
        <is>
          <t>KITCHEN TABLE VALUES PAC</t>
        </is>
      </c>
      <c r="H37" s="5" t="n"/>
      <c r="I37" s="5" t="n"/>
      <c r="J37" s="5" t="n"/>
      <c r="K37" s="33" t="n">
        <v>8840</v>
      </c>
      <c r="L37" s="34" t="n">
        <v>5</v>
      </c>
      <c r="M37" s="5" t="n"/>
    </row>
    <row r="38">
      <c r="A38" s="5" t="inlineStr">
        <is>
          <t>outside_by_committee</t>
        </is>
      </c>
      <c r="B38" s="5" t="n">
        <v>2026</v>
      </c>
      <c r="C38" s="5" t="inlineStr">
        <is>
          <t>Ryan Mackenzie</t>
        </is>
      </c>
      <c r="D38" s="5" t="n"/>
      <c r="E38" s="5" t="inlineStr">
        <is>
          <t>Opposes</t>
        </is>
      </c>
      <c r="F38" s="5" t="n"/>
      <c r="G38" s="5" t="inlineStr">
        <is>
          <t>YOUTH SAVE DEMOCRACY PAC</t>
        </is>
      </c>
      <c r="H38" s="5" t="n"/>
      <c r="I38" s="5" t="n"/>
      <c r="J38" s="5" t="n"/>
      <c r="K38" s="33" t="n">
        <v>6044</v>
      </c>
      <c r="L38" s="34" t="n">
        <v>1</v>
      </c>
      <c r="M38" s="5" t="n"/>
    </row>
    <row r="39">
      <c r="A39" s="5" t="inlineStr">
        <is>
          <t>outside_by_committee</t>
        </is>
      </c>
      <c r="B39" s="5" t="n">
        <v>2026</v>
      </c>
      <c r="C39" s="5" t="inlineStr">
        <is>
          <t>Bob Brooks</t>
        </is>
      </c>
      <c r="D39" s="5" t="n"/>
      <c r="E39" s="5" t="inlineStr">
        <is>
          <t>Supports</t>
        </is>
      </c>
      <c r="F39" s="5" t="n"/>
      <c r="G39" s="5" t="inlineStr">
        <is>
          <t>MAJORITY BLUE PAC</t>
        </is>
      </c>
      <c r="H39" s="5" t="n"/>
      <c r="I39" s="5" t="n"/>
      <c r="J39" s="5" t="n"/>
      <c r="K39" s="33" t="n">
        <v>4941.66</v>
      </c>
      <c r="L39" s="34" t="n">
        <v>2</v>
      </c>
      <c r="M39" s="5" t="n"/>
    </row>
    <row r="40">
      <c r="A40" s="5" t="inlineStr">
        <is>
          <t>outside_by_committee</t>
        </is>
      </c>
      <c r="B40" s="5" t="n">
        <v>2026</v>
      </c>
      <c r="C40" s="5" t="inlineStr">
        <is>
          <t>Bob Brooks</t>
        </is>
      </c>
      <c r="D40" s="5" t="n"/>
      <c r="E40" s="5" t="inlineStr">
        <is>
          <t>Supports</t>
        </is>
      </c>
      <c r="F40" s="5" t="n"/>
      <c r="G40" s="5" t="inlineStr">
        <is>
          <t>BLUE SHIFT PAC</t>
        </is>
      </c>
      <c r="H40" s="5" t="n"/>
      <c r="I40" s="5" t="n"/>
      <c r="J40" s="5" t="n"/>
      <c r="K40" s="33" t="n">
        <v>4708.33</v>
      </c>
      <c r="L40" s="34" t="n">
        <v>2</v>
      </c>
      <c r="M40" s="5" t="n"/>
    </row>
    <row r="41">
      <c r="A41" s="5" t="inlineStr">
        <is>
          <t>outside_by_committee</t>
        </is>
      </c>
      <c r="B41" s="5" t="n">
        <v>2026</v>
      </c>
      <c r="C41" s="5" t="inlineStr">
        <is>
          <t>Bob Brooks</t>
        </is>
      </c>
      <c r="D41" s="5" t="n"/>
      <c r="E41" s="5" t="inlineStr">
        <is>
          <t>Supports</t>
        </is>
      </c>
      <c r="F41" s="5" t="n"/>
      <c r="G41" s="5" t="inlineStr">
        <is>
          <t>FF PAC</t>
        </is>
      </c>
      <c r="H41" s="5" t="n"/>
      <c r="I41" s="5" t="n"/>
      <c r="J41" s="5" t="n"/>
      <c r="K41" s="33" t="n">
        <v>4500</v>
      </c>
      <c r="L41" s="34" t="n">
        <v>2</v>
      </c>
      <c r="M41" s="5" t="n"/>
    </row>
    <row r="42">
      <c r="A42" s="5" t="inlineStr">
        <is>
          <t>outside_by_committee</t>
        </is>
      </c>
      <c r="B42" s="5" t="n">
        <v>2026</v>
      </c>
      <c r="C42" s="5" t="inlineStr">
        <is>
          <t>Bob Brooks</t>
        </is>
      </c>
      <c r="D42" s="5" t="n"/>
      <c r="E42" s="5" t="inlineStr">
        <is>
          <t>Supports</t>
        </is>
      </c>
      <c r="F42" s="5" t="n"/>
      <c r="G42" s="5" t="inlineStr">
        <is>
          <t>SEIU COPE (SERVICE EMPLOYEES INTERNATIONAL UNION COMMITTEE ON POLITICAL EDUCATION)</t>
        </is>
      </c>
      <c r="H42" s="5" t="n"/>
      <c r="I42" s="5" t="n"/>
      <c r="J42" s="5" t="n"/>
      <c r="K42" s="33" t="n">
        <v>3140.99</v>
      </c>
      <c r="L42" s="34" t="n">
        <v>3</v>
      </c>
      <c r="M42" s="5" t="n"/>
    </row>
    <row r="43">
      <c r="A43" s="5" t="inlineStr">
        <is>
          <t>outside_by_committee</t>
        </is>
      </c>
      <c r="B43" s="5" t="n">
        <v>2026</v>
      </c>
      <c r="C43" s="5" t="inlineStr">
        <is>
          <t>Bob Brooks</t>
        </is>
      </c>
      <c r="D43" s="5" t="n"/>
      <c r="E43" s="5" t="inlineStr">
        <is>
          <t>Supports</t>
        </is>
      </c>
      <c r="F43" s="5" t="n"/>
      <c r="G43" s="5" t="inlineStr">
        <is>
          <t>DEMOCRATIC FUTURE PAC</t>
        </is>
      </c>
      <c r="H43" s="5" t="n"/>
      <c r="I43" s="5" t="n"/>
      <c r="J43" s="5" t="n"/>
      <c r="K43" s="33" t="n">
        <v>2600</v>
      </c>
      <c r="L43" s="34" t="n">
        <v>2</v>
      </c>
      <c r="M43" s="5" t="n"/>
    </row>
    <row r="44">
      <c r="A44" s="5" t="inlineStr">
        <is>
          <t>outside_by_committee</t>
        </is>
      </c>
      <c r="B44" s="5" t="n">
        <v>2026</v>
      </c>
      <c r="C44" s="5" t="inlineStr">
        <is>
          <t>Ryan Mackenzie</t>
        </is>
      </c>
      <c r="D44" s="5" t="n"/>
      <c r="E44" s="5" t="inlineStr">
        <is>
          <t>Opposes</t>
        </is>
      </c>
      <c r="F44" s="5" t="n"/>
      <c r="G44" s="5" t="inlineStr">
        <is>
          <t>INDIGO PAC</t>
        </is>
      </c>
      <c r="H44" s="5" t="n"/>
      <c r="I44" s="5" t="n"/>
      <c r="J44" s="5" t="n"/>
      <c r="K44" s="33" t="n">
        <v>1835.77</v>
      </c>
      <c r="L44" s="34" t="n">
        <v>10</v>
      </c>
      <c r="M44" s="5" t="n"/>
    </row>
    <row r="45">
      <c r="A45" s="5" t="inlineStr">
        <is>
          <t>outside_by_committee</t>
        </is>
      </c>
      <c r="B45" s="5" t="n">
        <v>2026</v>
      </c>
      <c r="C45" s="5" t="inlineStr">
        <is>
          <t>Ryan Mackenzie</t>
        </is>
      </c>
      <c r="D45" s="5" t="n"/>
      <c r="E45" s="5" t="inlineStr">
        <is>
          <t>Opposes</t>
        </is>
      </c>
      <c r="F45" s="5" t="n"/>
      <c r="G45" s="5" t="inlineStr">
        <is>
          <t>ACTIVATE AMERICA</t>
        </is>
      </c>
      <c r="H45" s="5" t="n"/>
      <c r="I45" s="5" t="n"/>
      <c r="J45" s="5" t="n"/>
      <c r="K45" s="33" t="n">
        <v>1702.29</v>
      </c>
      <c r="L45" s="34" t="n">
        <v>4</v>
      </c>
      <c r="M45" s="5" t="n"/>
    </row>
    <row r="46">
      <c r="A46" s="5" t="inlineStr">
        <is>
          <t>outside_by_committee</t>
        </is>
      </c>
      <c r="B46" s="5" t="n">
        <v>2026</v>
      </c>
      <c r="C46" s="5" t="inlineStr">
        <is>
          <t>Ryan Mackenzie</t>
        </is>
      </c>
      <c r="D46" s="5" t="n"/>
      <c r="E46" s="5" t="inlineStr">
        <is>
          <t>Opposes</t>
        </is>
      </c>
      <c r="F46" s="5" t="n"/>
      <c r="G46" s="5" t="inlineStr">
        <is>
          <t>RURAL FREEDOM NETWORK</t>
        </is>
      </c>
      <c r="H46" s="5" t="n"/>
      <c r="I46" s="5" t="n"/>
      <c r="J46" s="5" t="n"/>
      <c r="K46" s="33" t="n">
        <v>1517.06</v>
      </c>
      <c r="L46" s="34" t="n">
        <v>1</v>
      </c>
      <c r="M46" s="5" t="n"/>
    </row>
    <row r="47">
      <c r="A47" s="5" t="inlineStr">
        <is>
          <t>outside_by_committee</t>
        </is>
      </c>
      <c r="B47" s="5" t="n">
        <v>2026</v>
      </c>
      <c r="C47" s="5" t="inlineStr">
        <is>
          <t>Ryan Mackenzie</t>
        </is>
      </c>
      <c r="D47" s="5" t="n"/>
      <c r="E47" s="5" t="inlineStr">
        <is>
          <t>Opposes</t>
        </is>
      </c>
      <c r="F47" s="5" t="n"/>
      <c r="G47" s="5" t="inlineStr">
        <is>
          <t>FIELD TEAM 6, INC.</t>
        </is>
      </c>
      <c r="H47" s="5" t="n"/>
      <c r="I47" s="5" t="n"/>
      <c r="J47" s="5" t="n"/>
      <c r="K47" s="33" t="n">
        <v>1096.69</v>
      </c>
      <c r="L47" s="34" t="n">
        <v>2</v>
      </c>
      <c r="M47" s="5" t="n"/>
    </row>
    <row r="48">
      <c r="A48" s="5" t="inlineStr">
        <is>
          <t>outside_by_committee</t>
        </is>
      </c>
      <c r="B48" s="5" t="n">
        <v>2026</v>
      </c>
      <c r="C48" s="5" t="inlineStr">
        <is>
          <t>Bob Brooks</t>
        </is>
      </c>
      <c r="D48" s="5" t="n"/>
      <c r="E48" s="5" t="inlineStr">
        <is>
          <t>Supports</t>
        </is>
      </c>
      <c r="F48" s="5" t="n"/>
      <c r="G48" s="5" t="inlineStr">
        <is>
          <t>BLUE DEMOCRACY NETWORK</t>
        </is>
      </c>
      <c r="H48" s="5" t="n"/>
      <c r="I48" s="5" t="n"/>
      <c r="J48" s="5" t="n"/>
      <c r="K48" s="33" t="n">
        <v>1075</v>
      </c>
      <c r="L48" s="34" t="n">
        <v>2</v>
      </c>
      <c r="M48" s="5" t="n"/>
    </row>
    <row r="49">
      <c r="A49" s="5" t="inlineStr">
        <is>
          <t>outside_by_committee</t>
        </is>
      </c>
      <c r="B49" s="5" t="n">
        <v>2026</v>
      </c>
      <c r="C49" s="5" t="inlineStr">
        <is>
          <t>Bob Brooks</t>
        </is>
      </c>
      <c r="D49" s="5" t="n"/>
      <c r="E49" s="5" t="inlineStr">
        <is>
          <t>Supports</t>
        </is>
      </c>
      <c r="F49" s="5" t="n"/>
      <c r="G49" s="5" t="inlineStr">
        <is>
          <t>BLUE MAJORITY MAKERS PAC</t>
        </is>
      </c>
      <c r="H49" s="5" t="n"/>
      <c r="I49" s="5" t="n"/>
      <c r="J49" s="5" t="n"/>
      <c r="K49" s="33" t="n">
        <v>766.66</v>
      </c>
      <c r="L49" s="34" t="n">
        <v>2</v>
      </c>
      <c r="M49" s="5" t="n"/>
    </row>
    <row r="50">
      <c r="A50" s="5" t="inlineStr">
        <is>
          <t>outside_by_committee</t>
        </is>
      </c>
      <c r="B50" s="5" t="n">
        <v>2026</v>
      </c>
      <c r="C50" s="5" t="inlineStr">
        <is>
          <t>Bob Brooks</t>
        </is>
      </c>
      <c r="D50" s="5" t="n"/>
      <c r="E50" s="5" t="inlineStr">
        <is>
          <t>Supports</t>
        </is>
      </c>
      <c r="F50" s="5" t="n"/>
      <c r="G50" s="5" t="inlineStr">
        <is>
          <t>FIELD TEAM 6, INC.</t>
        </is>
      </c>
      <c r="H50" s="5" t="n"/>
      <c r="I50" s="5" t="n"/>
      <c r="J50" s="5" t="n"/>
      <c r="K50" s="33" t="n">
        <v>638.3</v>
      </c>
      <c r="L50" s="34" t="n">
        <v>1</v>
      </c>
      <c r="M50" s="5" t="n"/>
    </row>
    <row r="51">
      <c r="A51" s="5" t="inlineStr">
        <is>
          <t>outside_by_committee</t>
        </is>
      </c>
      <c r="B51" s="5" t="n">
        <v>2026</v>
      </c>
      <c r="C51" s="5" t="inlineStr">
        <is>
          <t>Bob Brooks</t>
        </is>
      </c>
      <c r="D51" s="5" t="n"/>
      <c r="E51" s="5" t="inlineStr">
        <is>
          <t>Supports</t>
        </is>
      </c>
      <c r="F51" s="5" t="n"/>
      <c r="G51" s="5" t="inlineStr">
        <is>
          <t>PEOPLE'S ACTION POWER</t>
        </is>
      </c>
      <c r="H51" s="5" t="n"/>
      <c r="I51" s="5" t="n"/>
      <c r="J51" s="5" t="n"/>
      <c r="K51" s="33" t="n">
        <v>530.05</v>
      </c>
      <c r="L51" s="34" t="n">
        <v>1</v>
      </c>
      <c r="M51" s="5" t="n"/>
    </row>
    <row r="52">
      <c r="A52" s="5" t="inlineStr">
        <is>
          <t>outside_by_committee</t>
        </is>
      </c>
      <c r="B52" s="5" t="n">
        <v>2026</v>
      </c>
      <c r="C52" s="5" t="inlineStr">
        <is>
          <t>Bob Brooks</t>
        </is>
      </c>
      <c r="D52" s="5" t="n"/>
      <c r="E52" s="5" t="inlineStr">
        <is>
          <t>Supports</t>
        </is>
      </c>
      <c r="F52" s="5" t="n"/>
      <c r="G52" s="5" t="inlineStr">
        <is>
          <t>SURJ PAC</t>
        </is>
      </c>
      <c r="H52" s="5" t="n"/>
      <c r="I52" s="5" t="n"/>
      <c r="J52" s="5" t="n"/>
      <c r="K52" s="33" t="n">
        <v>187.51</v>
      </c>
      <c r="L52" s="34" t="n">
        <v>1</v>
      </c>
      <c r="M52" s="5" t="n"/>
    </row>
    <row r="53">
      <c r="A53" s="5" t="inlineStr">
        <is>
          <t>outside_by_committee</t>
        </is>
      </c>
      <c r="B53" s="5" t="n">
        <v>2026</v>
      </c>
      <c r="C53" s="5" t="inlineStr">
        <is>
          <t>Bob Brooks</t>
        </is>
      </c>
      <c r="D53" s="5" t="n"/>
      <c r="E53" s="5" t="inlineStr">
        <is>
          <t>Supports</t>
        </is>
      </c>
      <c r="F53" s="5" t="n"/>
      <c r="G53" s="5" t="inlineStr">
        <is>
          <t>RURAL FREEDOM NETWORK</t>
        </is>
      </c>
      <c r="H53" s="5" t="n"/>
      <c r="I53" s="5" t="n"/>
      <c r="J53" s="5" t="n"/>
      <c r="K53" s="33" t="n">
        <v>157.07</v>
      </c>
      <c r="L53" s="34" t="n">
        <v>1</v>
      </c>
      <c r="M53" s="5" t="n"/>
    </row>
    <row r="54">
      <c r="A54" s="5" t="inlineStr">
        <is>
          <t>outside_by_committee</t>
        </is>
      </c>
      <c r="B54" s="5" t="n">
        <v>2026</v>
      </c>
      <c r="C54" s="5" t="inlineStr">
        <is>
          <t>Ryan Mackenzie</t>
        </is>
      </c>
      <c r="D54" s="5" t="n"/>
      <c r="E54" s="5" t="inlineStr">
        <is>
          <t>Opposes</t>
        </is>
      </c>
      <c r="F54" s="5" t="n"/>
      <c r="G54" s="5" t="inlineStr">
        <is>
          <t>PLANNED PARENTHOOD VOTES</t>
        </is>
      </c>
      <c r="H54" s="5" t="n"/>
      <c r="I54" s="5" t="n"/>
      <c r="J54" s="5" t="n"/>
      <c r="K54" s="33" t="n">
        <v>156.81</v>
      </c>
      <c r="L54" s="34" t="n">
        <v>2</v>
      </c>
      <c r="M54" s="5" t="n"/>
    </row>
    <row r="55">
      <c r="A55" s="5" t="inlineStr">
        <is>
          <t>outside_by_committee</t>
        </is>
      </c>
      <c r="B55" s="5" t="n">
        <v>2026</v>
      </c>
      <c r="C55" s="5" t="inlineStr">
        <is>
          <t>Bob Brooks</t>
        </is>
      </c>
      <c r="D55" s="5" t="n"/>
      <c r="E55" s="5" t="inlineStr">
        <is>
          <t>Supports</t>
        </is>
      </c>
      <c r="F55" s="5" t="n"/>
      <c r="G55" s="5" t="inlineStr">
        <is>
          <t>THE PEOPLE UNITED PAC</t>
        </is>
      </c>
      <c r="H55" s="5" t="n"/>
      <c r="I55" s="5" t="n"/>
      <c r="J55" s="5" t="n"/>
      <c r="K55" s="33" t="n">
        <v>50</v>
      </c>
      <c r="L55" s="34" t="n">
        <v>1</v>
      </c>
      <c r="M55" s="5" t="n"/>
    </row>
    <row r="56">
      <c r="A56" s="5" t="inlineStr">
        <is>
          <t>outside_by_committee</t>
        </is>
      </c>
      <c r="B56" s="5" t="n">
        <v>2026</v>
      </c>
      <c r="C56" s="5" t="inlineStr">
        <is>
          <t>Bob Brooks</t>
        </is>
      </c>
      <c r="D56" s="5" t="n"/>
      <c r="E56" s="5" t="inlineStr">
        <is>
          <t>Supports</t>
        </is>
      </c>
      <c r="F56" s="5" t="n"/>
      <c r="G56" s="5" t="inlineStr">
        <is>
          <t>GIVEGREEN UNITED ACTION</t>
        </is>
      </c>
      <c r="H56" s="5" t="n"/>
      <c r="I56" s="5" t="n"/>
      <c r="J56" s="5" t="n"/>
      <c r="K56" s="33" t="n">
        <v>36.54</v>
      </c>
      <c r="L56" s="34" t="n">
        <v>2</v>
      </c>
      <c r="M56" s="5" t="n"/>
    </row>
    <row r="57">
      <c r="A57" s="5" t="inlineStr">
        <is>
          <t>outside_itemized</t>
        </is>
      </c>
      <c r="B57" s="5" t="n">
        <v>2026</v>
      </c>
      <c r="C57" s="5" t="inlineStr">
        <is>
          <t>Bob Brooks</t>
        </is>
      </c>
      <c r="D57" s="5" t="n"/>
      <c r="E57" s="5" t="inlineStr">
        <is>
          <t>Supports</t>
        </is>
      </c>
      <c r="F57" s="5" t="inlineStr">
        <is>
          <t>Television and media buys</t>
        </is>
      </c>
      <c r="G57" s="5" t="inlineStr">
        <is>
          <t>STRONGER TOGETHER PA</t>
        </is>
      </c>
      <c r="H57" s="5" t="inlineStr">
        <is>
          <t>AD BUY</t>
        </is>
      </c>
      <c r="I57" s="5" t="inlineStr">
        <is>
          <t>PHILADELPHIA</t>
        </is>
      </c>
      <c r="J57" s="5" t="inlineStr">
        <is>
          <t>PA</t>
        </is>
      </c>
      <c r="K57" s="33" t="n">
        <v>306418</v>
      </c>
      <c r="L57" s="34" t="n"/>
      <c r="M57" s="5" t="inlineStr">
        <is>
          <t>2026-05-05</t>
        </is>
      </c>
    </row>
    <row r="58">
      <c r="A58" s="5" t="inlineStr">
        <is>
          <t>outside_itemized</t>
        </is>
      </c>
      <c r="B58" s="5" t="n">
        <v>2026</v>
      </c>
      <c r="C58" s="5" t="inlineStr">
        <is>
          <t>Bob Brooks</t>
        </is>
      </c>
      <c r="D58" s="5" t="n"/>
      <c r="E58" s="5" t="inlineStr">
        <is>
          <t>Supports</t>
        </is>
      </c>
      <c r="F58" s="5" t="inlineStr">
        <is>
          <t>Television and media buys</t>
        </is>
      </c>
      <c r="G58" s="5" t="inlineStr">
        <is>
          <t>STRONGER TOGETHER PA</t>
        </is>
      </c>
      <c r="H58" s="5" t="inlineStr">
        <is>
          <t>AD BUY</t>
        </is>
      </c>
      <c r="I58" s="5" t="inlineStr">
        <is>
          <t>PHILADELPHIA</t>
        </is>
      </c>
      <c r="J58" s="5" t="inlineStr">
        <is>
          <t>PA</t>
        </is>
      </c>
      <c r="K58" s="33" t="n">
        <v>272247</v>
      </c>
      <c r="L58" s="34" t="n"/>
      <c r="M58" s="5" t="inlineStr">
        <is>
          <t>2026-04-01</t>
        </is>
      </c>
    </row>
    <row r="59">
      <c r="A59" s="5" t="inlineStr">
        <is>
          <t>outside_itemized</t>
        </is>
      </c>
      <c r="B59" s="5" t="n">
        <v>2026</v>
      </c>
      <c r="C59" s="5" t="inlineStr">
        <is>
          <t>Bob Brooks</t>
        </is>
      </c>
      <c r="D59" s="5" t="n"/>
      <c r="E59" s="5" t="inlineStr">
        <is>
          <t>Supports</t>
        </is>
      </c>
      <c r="F59" s="5" t="inlineStr">
        <is>
          <t>Digital advertising</t>
        </is>
      </c>
      <c r="G59" s="5" t="inlineStr">
        <is>
          <t>JOBS AND DEMOCRACY PAC</t>
        </is>
      </c>
      <c r="H59" s="5" t="inlineStr">
        <is>
          <t>DIGITAL BUY</t>
        </is>
      </c>
      <c r="I59" s="5" t="inlineStr">
        <is>
          <t>SANTA BARBARA</t>
        </is>
      </c>
      <c r="J59" s="5" t="inlineStr">
        <is>
          <t>CA</t>
        </is>
      </c>
      <c r="K59" s="33" t="n">
        <v>249750</v>
      </c>
      <c r="L59" s="34" t="n"/>
      <c r="M59" s="5" t="inlineStr">
        <is>
          <t>2026-05-15</t>
        </is>
      </c>
    </row>
    <row r="60">
      <c r="A60" s="5" t="inlineStr">
        <is>
          <t>outside_itemized</t>
        </is>
      </c>
      <c r="B60" s="5" t="n">
        <v>2026</v>
      </c>
      <c r="C60" s="5" t="inlineStr">
        <is>
          <t>Bob Brooks</t>
        </is>
      </c>
      <c r="D60" s="5" t="n"/>
      <c r="E60" s="5" t="inlineStr">
        <is>
          <t>Supports</t>
        </is>
      </c>
      <c r="F60" s="5" t="inlineStr">
        <is>
          <t>Television and media buys</t>
        </is>
      </c>
      <c r="G60" s="5" t="inlineStr">
        <is>
          <t>STRONGER TOGETHER PA</t>
        </is>
      </c>
      <c r="H60" s="5" t="inlineStr">
        <is>
          <t>AD BUY</t>
        </is>
      </c>
      <c r="I60" s="5" t="inlineStr">
        <is>
          <t>PHILADELPHIA</t>
        </is>
      </c>
      <c r="J60" s="5" t="inlineStr">
        <is>
          <t>PA</t>
        </is>
      </c>
      <c r="K60" s="33" t="n">
        <v>175000</v>
      </c>
      <c r="L60" s="34" t="n"/>
      <c r="M60" s="5" t="inlineStr">
        <is>
          <t>2026-05-13</t>
        </is>
      </c>
    </row>
    <row r="61">
      <c r="A61" s="5" t="inlineStr">
        <is>
          <t>outside_itemized</t>
        </is>
      </c>
      <c r="B61" s="5" t="n">
        <v>2026</v>
      </c>
      <c r="C61" s="5" t="inlineStr">
        <is>
          <t>Bob Brooks</t>
        </is>
      </c>
      <c r="D61" s="5" t="n"/>
      <c r="E61" s="5" t="inlineStr">
        <is>
          <t>Supports</t>
        </is>
      </c>
      <c r="F61" s="5" t="inlineStr">
        <is>
          <t>Television and media buys</t>
        </is>
      </c>
      <c r="G61" s="5" t="inlineStr">
        <is>
          <t>STRONGER TOGETHER PA</t>
        </is>
      </c>
      <c r="H61" s="5" t="inlineStr">
        <is>
          <t>AD BUY</t>
        </is>
      </c>
      <c r="I61" s="5" t="inlineStr">
        <is>
          <t>PHILADELPHIA</t>
        </is>
      </c>
      <c r="J61" s="5" t="inlineStr">
        <is>
          <t>PA</t>
        </is>
      </c>
      <c r="K61" s="33" t="n">
        <v>154509</v>
      </c>
      <c r="L61" s="34" t="n"/>
      <c r="M61" s="5" t="inlineStr">
        <is>
          <t>2026-04-23</t>
        </is>
      </c>
    </row>
    <row r="62">
      <c r="A62" s="5" t="inlineStr">
        <is>
          <t>outside_itemized</t>
        </is>
      </c>
      <c r="B62" s="5" t="n">
        <v>2026</v>
      </c>
      <c r="C62" s="5" t="inlineStr">
        <is>
          <t>Bob Brooks</t>
        </is>
      </c>
      <c r="D62" s="5" t="n"/>
      <c r="E62" s="5" t="inlineStr">
        <is>
          <t>Supports</t>
        </is>
      </c>
      <c r="F62" s="5" t="inlineStr">
        <is>
          <t>Television and media buys</t>
        </is>
      </c>
      <c r="G62" s="5" t="inlineStr">
        <is>
          <t>STRONGER TOGETHER PA</t>
        </is>
      </c>
      <c r="H62" s="5" t="inlineStr">
        <is>
          <t>AD BUY</t>
        </is>
      </c>
      <c r="I62" s="5" t="inlineStr">
        <is>
          <t>PHILADELPHIA</t>
        </is>
      </c>
      <c r="J62" s="5" t="inlineStr">
        <is>
          <t>PA</t>
        </is>
      </c>
      <c r="K62" s="33" t="n">
        <v>150000</v>
      </c>
      <c r="L62" s="34" t="n"/>
      <c r="M62" s="5" t="inlineStr">
        <is>
          <t>2026-05-15</t>
        </is>
      </c>
    </row>
    <row r="63">
      <c r="A63" s="5" t="inlineStr">
        <is>
          <t>outside_itemized</t>
        </is>
      </c>
      <c r="B63" s="5" t="n">
        <v>2026</v>
      </c>
      <c r="C63" s="5" t="inlineStr">
        <is>
          <t>Bob Brooks</t>
        </is>
      </c>
      <c r="D63" s="5" t="n"/>
      <c r="E63" s="5" t="inlineStr">
        <is>
          <t>Supports</t>
        </is>
      </c>
      <c r="F63" s="5" t="inlineStr">
        <is>
          <t>Digital advertising</t>
        </is>
      </c>
      <c r="G63" s="5" t="inlineStr">
        <is>
          <t>CONGRESSIONAL PROGRESSIVE CAUCUS PAC</t>
        </is>
      </c>
      <c r="H63" s="5" t="inlineStr">
        <is>
          <t>DIGITAL AD BUY - ESTIMATE</t>
        </is>
      </c>
      <c r="I63" s="5" t="inlineStr">
        <is>
          <t>BERKELEY</t>
        </is>
      </c>
      <c r="J63" s="5" t="inlineStr">
        <is>
          <t>CA</t>
        </is>
      </c>
      <c r="K63" s="33" t="n">
        <v>128000</v>
      </c>
      <c r="L63" s="34" t="n"/>
      <c r="M63" s="5" t="inlineStr">
        <is>
          <t>2026-04-24</t>
        </is>
      </c>
    </row>
    <row r="64">
      <c r="A64" s="5" t="inlineStr">
        <is>
          <t>outside_itemized</t>
        </is>
      </c>
      <c r="B64" s="5" t="n">
        <v>2026</v>
      </c>
      <c r="C64" s="5" t="inlineStr">
        <is>
          <t>Bob Brooks</t>
        </is>
      </c>
      <c r="D64" s="5" t="n"/>
      <c r="E64" s="5" t="inlineStr">
        <is>
          <t>Supports</t>
        </is>
      </c>
      <c r="F64" s="5" t="inlineStr">
        <is>
          <t>Television and media buys</t>
        </is>
      </c>
      <c r="G64" s="5" t="inlineStr">
        <is>
          <t>STRONGER TOGETHER PA</t>
        </is>
      </c>
      <c r="H64" s="5" t="inlineStr">
        <is>
          <t>AD BUY</t>
        </is>
      </c>
      <c r="I64" s="5" t="inlineStr">
        <is>
          <t>PHILADELPHIA</t>
        </is>
      </c>
      <c r="J64" s="5" t="inlineStr">
        <is>
          <t>PA</t>
        </is>
      </c>
      <c r="K64" s="33" t="n">
        <v>110000</v>
      </c>
      <c r="L64" s="34" t="n"/>
      <c r="M64" s="5" t="inlineStr">
        <is>
          <t>2026-05-15</t>
        </is>
      </c>
    </row>
    <row r="65">
      <c r="A65" s="5" t="inlineStr">
        <is>
          <t>outside_itemized</t>
        </is>
      </c>
      <c r="B65" s="5" t="n">
        <v>2026</v>
      </c>
      <c r="C65" s="5" t="inlineStr">
        <is>
          <t>Bob Brooks</t>
        </is>
      </c>
      <c r="D65" s="5" t="n"/>
      <c r="E65" s="5" t="inlineStr">
        <is>
          <t>Opposes</t>
        </is>
      </c>
      <c r="F65" s="5" t="inlineStr">
        <is>
          <t>Television and media buys</t>
        </is>
      </c>
      <c r="G65" s="5" t="inlineStr">
        <is>
          <t>LEAD LEFT PAC</t>
        </is>
      </c>
      <c r="H65" s="5" t="inlineStr">
        <is>
          <t>MEDIA PLACEMENT / MEDIA PRODUCTION</t>
        </is>
      </c>
      <c r="I65" s="5" t="inlineStr">
        <is>
          <t>RICHMOND</t>
        </is>
      </c>
      <c r="J65" s="5" t="inlineStr">
        <is>
          <t>VA</t>
        </is>
      </c>
      <c r="K65" s="33" t="n">
        <v>106756.66</v>
      </c>
      <c r="L65" s="34" t="n"/>
      <c r="M65" s="5" t="inlineStr">
        <is>
          <t>2026-05-05</t>
        </is>
      </c>
    </row>
    <row r="66">
      <c r="A66" s="5" t="inlineStr">
        <is>
          <t>outside_itemized</t>
        </is>
      </c>
      <c r="B66" s="5" t="n">
        <v>2026</v>
      </c>
      <c r="C66" s="5" t="inlineStr">
        <is>
          <t>Bob Brooks</t>
        </is>
      </c>
      <c r="D66" s="5" t="n"/>
      <c r="E66" s="5" t="inlineStr">
        <is>
          <t>Opposes</t>
        </is>
      </c>
      <c r="F66" s="5" t="inlineStr">
        <is>
          <t>Television and media buys</t>
        </is>
      </c>
      <c r="G66" s="5" t="inlineStr">
        <is>
          <t>LEAD LEFT PAC</t>
        </is>
      </c>
      <c r="H66" s="5" t="inlineStr">
        <is>
          <t>MEDIA PLACEMENT</t>
        </is>
      </c>
      <c r="I66" s="5" t="inlineStr">
        <is>
          <t>RICHMOND</t>
        </is>
      </c>
      <c r="J66" s="5" t="inlineStr">
        <is>
          <t>VA</t>
        </is>
      </c>
      <c r="K66" s="33" t="n">
        <v>102333.33</v>
      </c>
      <c r="L66" s="34" t="n"/>
      <c r="M66" s="5" t="inlineStr">
        <is>
          <t>2026-05-06</t>
        </is>
      </c>
    </row>
    <row r="67">
      <c r="A67" s="5" t="inlineStr">
        <is>
          <t>outside_itemized</t>
        </is>
      </c>
      <c r="B67" s="5" t="n">
        <v>2026</v>
      </c>
      <c r="C67" s="5" t="inlineStr">
        <is>
          <t>Bob Brooks</t>
        </is>
      </c>
      <c r="D67" s="5" t="n"/>
      <c r="E67" s="5" t="inlineStr">
        <is>
          <t>Supports</t>
        </is>
      </c>
      <c r="F67" s="5" t="inlineStr">
        <is>
          <t>Digital advertising</t>
        </is>
      </c>
      <c r="G67" s="5" t="inlineStr">
        <is>
          <t>MEDICARE FOR ALL</t>
        </is>
      </c>
      <c r="H67" s="5" t="inlineStr">
        <is>
          <t>DIGITAL ADVERTISING BUY</t>
        </is>
      </c>
      <c r="I67" s="5" t="inlineStr">
        <is>
          <t>BERKELEY</t>
        </is>
      </c>
      <c r="J67" s="5" t="inlineStr">
        <is>
          <t>CA</t>
        </is>
      </c>
      <c r="K67" s="33" t="n">
        <v>95000</v>
      </c>
      <c r="L67" s="34" t="n"/>
      <c r="M67" s="5" t="inlineStr">
        <is>
          <t>2026-05-12</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90000</v>
      </c>
      <c r="L68" s="34" t="n"/>
      <c r="M68" s="5" t="inlineStr">
        <is>
          <t>2026-05-15</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 &amp; AD PRODUCTION</t>
        </is>
      </c>
      <c r="I69" s="5" t="inlineStr">
        <is>
          <t>PHILADELPHIA</t>
        </is>
      </c>
      <c r="J69" s="5" t="inlineStr">
        <is>
          <t>PA</t>
        </is>
      </c>
      <c r="K69" s="33" t="n">
        <v>83120</v>
      </c>
      <c r="L69" s="34" t="n"/>
      <c r="M69" s="5" t="inlineStr">
        <is>
          <t>2026-03-24</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t>
        </is>
      </c>
      <c r="I70" s="5" t="inlineStr">
        <is>
          <t>PHILADELPHIA</t>
        </is>
      </c>
      <c r="J70" s="5" t="inlineStr">
        <is>
          <t>PA</t>
        </is>
      </c>
      <c r="K70" s="33" t="n">
        <v>80000</v>
      </c>
      <c r="L70" s="34" t="n"/>
      <c r="M70" s="5" t="inlineStr">
        <is>
          <t>2026-05-12</t>
        </is>
      </c>
    </row>
    <row r="71">
      <c r="A71" s="5" t="inlineStr">
        <is>
          <t>outside_itemized</t>
        </is>
      </c>
      <c r="B71" s="5" t="n">
        <v>2026</v>
      </c>
      <c r="C71" s="5" t="inlineStr">
        <is>
          <t>Bob Brooks</t>
        </is>
      </c>
      <c r="D71" s="5" t="n"/>
      <c r="E71" s="5" t="inlineStr">
        <is>
          <t>Opposes</t>
        </is>
      </c>
      <c r="F71" s="5" t="inlineStr">
        <is>
          <t>Television and media buys</t>
        </is>
      </c>
      <c r="G71" s="5" t="inlineStr">
        <is>
          <t>LEAD LEFT PAC</t>
        </is>
      </c>
      <c r="H71" s="5" t="inlineStr">
        <is>
          <t>MEDIA PLACEMENT / MEDIA PRODUCTION</t>
        </is>
      </c>
      <c r="I71" s="5" t="inlineStr">
        <is>
          <t>PENSACOLA</t>
        </is>
      </c>
      <c r="J71" s="5" t="inlineStr">
        <is>
          <t>FL</t>
        </is>
      </c>
      <c r="K71" s="33" t="n">
        <v>66666.67</v>
      </c>
      <c r="L71" s="34" t="n"/>
      <c r="M71" s="5" t="inlineStr">
        <is>
          <t>2026-05-06</t>
        </is>
      </c>
    </row>
    <row r="72">
      <c r="A72" s="5" t="inlineStr">
        <is>
          <t>outside_itemized</t>
        </is>
      </c>
      <c r="B72" s="5" t="n">
        <v>2026</v>
      </c>
      <c r="C72" s="5" t="inlineStr">
        <is>
          <t>Bob Brooks</t>
        </is>
      </c>
      <c r="D72" s="5" t="n"/>
      <c r="E72" s="5" t="inlineStr">
        <is>
          <t>Supports</t>
        </is>
      </c>
      <c r="F72" s="5" t="inlineStr">
        <is>
          <t>Television and media buys</t>
        </is>
      </c>
      <c r="G72" s="5" t="inlineStr">
        <is>
          <t>STRONGER TOGETHER PA</t>
        </is>
      </c>
      <c r="H72" s="5" t="inlineStr">
        <is>
          <t>AD BUY</t>
        </is>
      </c>
      <c r="I72" s="5" t="inlineStr">
        <is>
          <t>PHILADELPHIA</t>
        </is>
      </c>
      <c r="J72" s="5" t="inlineStr">
        <is>
          <t>PA</t>
        </is>
      </c>
      <c r="K72" s="33" t="n">
        <v>52120</v>
      </c>
      <c r="L72" s="34" t="n"/>
      <c r="M72" s="5" t="inlineStr">
        <is>
          <t>2026-03-27</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50500</v>
      </c>
      <c r="L73" s="34" t="n"/>
      <c r="M73" s="5" t="inlineStr">
        <is>
          <t>2026-05-07</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46000</v>
      </c>
      <c r="L74" s="34" t="n"/>
      <c r="M74" s="5" t="inlineStr">
        <is>
          <t>2026-04-16</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45110</v>
      </c>
      <c r="L75" s="34" t="n"/>
      <c r="M75" s="5" t="inlineStr">
        <is>
          <t>2026-03-30</t>
        </is>
      </c>
    </row>
    <row r="76">
      <c r="A76" s="5" t="inlineStr">
        <is>
          <t>outside_itemized</t>
        </is>
      </c>
      <c r="B76" s="5" t="n">
        <v>2026</v>
      </c>
      <c r="C76" s="5" t="inlineStr">
        <is>
          <t>Bob Brooks</t>
        </is>
      </c>
      <c r="D76" s="5" t="n"/>
      <c r="E76" s="5" t="inlineStr">
        <is>
          <t>Supports</t>
        </is>
      </c>
      <c r="F76" s="5" t="inlineStr">
        <is>
          <t>Mail and print</t>
        </is>
      </c>
      <c r="G76" s="5" t="inlineStr">
        <is>
          <t>WORKING FAMILIES PARTY PAC</t>
        </is>
      </c>
      <c r="H76" s="5" t="inlineStr">
        <is>
          <t>DIRECT MAIL  FEC-1979274</t>
        </is>
      </c>
      <c r="I76" s="5" t="inlineStr">
        <is>
          <t>BROOKLYN</t>
        </is>
      </c>
      <c r="J76" s="5" t="inlineStr">
        <is>
          <t>NY</t>
        </is>
      </c>
      <c r="K76" s="33" t="n">
        <v>32824.6</v>
      </c>
      <c r="L76" s="34" t="n"/>
      <c r="M76" s="5" t="inlineStr">
        <is>
          <t>2026-08-10</t>
        </is>
      </c>
    </row>
    <row r="77">
      <c r="A77" s="5" t="inlineStr">
        <is>
          <t>outside_itemized</t>
        </is>
      </c>
      <c r="B77" s="5" t="n">
        <v>2026</v>
      </c>
      <c r="C77" s="5" t="inlineStr">
        <is>
          <t>Bob Brooks</t>
        </is>
      </c>
      <c r="D77" s="5" t="n"/>
      <c r="E77" s="5" t="inlineStr">
        <is>
          <t>Supports</t>
        </is>
      </c>
      <c r="F77" s="5" t="inlineStr">
        <is>
          <t>Television and media buys</t>
        </is>
      </c>
      <c r="G77" s="5" t="inlineStr">
        <is>
          <t>STRONGER TOGETHER PA</t>
        </is>
      </c>
      <c r="H77" s="5" t="inlineStr">
        <is>
          <t>AD BUY</t>
        </is>
      </c>
      <c r="I77" s="5" t="inlineStr">
        <is>
          <t>PHILADELPHIA</t>
        </is>
      </c>
      <c r="J77" s="5" t="inlineStr">
        <is>
          <t>PA</t>
        </is>
      </c>
      <c r="K77" s="33" t="n">
        <v>28000</v>
      </c>
      <c r="L77" s="34" t="n"/>
      <c r="M77" s="5" t="inlineStr">
        <is>
          <t>2026-04-09</t>
        </is>
      </c>
    </row>
    <row r="78">
      <c r="A78" s="5" t="inlineStr">
        <is>
          <t>outside_itemized</t>
        </is>
      </c>
      <c r="B78" s="5" t="n">
        <v>2026</v>
      </c>
      <c r="C78" s="5" t="inlineStr">
        <is>
          <t>Bob Brooks</t>
        </is>
      </c>
      <c r="D78" s="5" t="n"/>
      <c r="E78" s="5" t="inlineStr">
        <is>
          <t>Supports</t>
        </is>
      </c>
      <c r="F78" s="5" t="inlineStr">
        <is>
          <t>Television and media buys</t>
        </is>
      </c>
      <c r="G78" s="5" t="inlineStr">
        <is>
          <t>STRONGER TOGETHER PA</t>
        </is>
      </c>
      <c r="H78" s="5" t="inlineStr">
        <is>
          <t>AD BUY</t>
        </is>
      </c>
      <c r="I78" s="5" t="inlineStr">
        <is>
          <t>PHILADELPHIA</t>
        </is>
      </c>
      <c r="J78" s="5" t="inlineStr">
        <is>
          <t>PA</t>
        </is>
      </c>
      <c r="K78" s="33" t="n">
        <v>28000</v>
      </c>
      <c r="L78" s="34" t="n"/>
      <c r="M78" s="5" t="inlineStr">
        <is>
          <t>2026-04-02</t>
        </is>
      </c>
    </row>
    <row r="79">
      <c r="A79" s="5" t="inlineStr">
        <is>
          <t>outside_itemized</t>
        </is>
      </c>
      <c r="B79" s="5" t="n">
        <v>2026</v>
      </c>
      <c r="C79" s="5" t="inlineStr">
        <is>
          <t>Bob Brooks</t>
        </is>
      </c>
      <c r="D79" s="5" t="n"/>
      <c r="E79" s="5" t="inlineStr">
        <is>
          <t>Supports</t>
        </is>
      </c>
      <c r="F79" s="5" t="inlineStr">
        <is>
          <t>Television and media buys</t>
        </is>
      </c>
      <c r="G79" s="5" t="inlineStr">
        <is>
          <t>STRONGER TOGETHER PA</t>
        </is>
      </c>
      <c r="H79" s="5" t="inlineStr">
        <is>
          <t>AD BUY</t>
        </is>
      </c>
      <c r="I79" s="5" t="inlineStr">
        <is>
          <t>PHILADELPHIA</t>
        </is>
      </c>
      <c r="J79" s="5" t="inlineStr">
        <is>
          <t>PA</t>
        </is>
      </c>
      <c r="K79" s="33" t="n">
        <v>25500</v>
      </c>
      <c r="L79" s="34" t="n"/>
      <c r="M79" s="5" t="inlineStr">
        <is>
          <t>2026-05-07</t>
        </is>
      </c>
    </row>
    <row r="80">
      <c r="A80" s="5" t="inlineStr">
        <is>
          <t>outside_itemized</t>
        </is>
      </c>
      <c r="B80" s="5" t="n">
        <v>2026</v>
      </c>
      <c r="C80" s="5" t="inlineStr">
        <is>
          <t>Bob Brooks</t>
        </is>
      </c>
      <c r="D80" s="5" t="n"/>
      <c r="E80" s="5" t="inlineStr">
        <is>
          <t>Supports</t>
        </is>
      </c>
      <c r="F80" s="5" t="inlineStr">
        <is>
          <t>Mail and print</t>
        </is>
      </c>
      <c r="G80" s="5" t="inlineStr">
        <is>
          <t>DLP PAC</t>
        </is>
      </c>
      <c r="H80" s="5" t="inlineStr">
        <is>
          <t>PRINTING AND POSTAGE</t>
        </is>
      </c>
      <c r="I80" s="5" t="inlineStr">
        <is>
          <t>DOVER</t>
        </is>
      </c>
      <c r="J80" s="5" t="inlineStr">
        <is>
          <t>DE</t>
        </is>
      </c>
      <c r="K80" s="33" t="n">
        <v>25226.25</v>
      </c>
      <c r="L80" s="34" t="n"/>
      <c r="M80" s="5" t="inlineStr">
        <is>
          <t>2026-04-01</t>
        </is>
      </c>
    </row>
    <row r="81">
      <c r="A81" s="5" t="inlineStr">
        <is>
          <t>outside_itemized</t>
        </is>
      </c>
      <c r="B81" s="5" t="n">
        <v>2026</v>
      </c>
      <c r="C81" s="5" t="inlineStr">
        <is>
          <t>Bob Brooks</t>
        </is>
      </c>
      <c r="D81" s="5" t="n"/>
      <c r="E81" s="5" t="inlineStr">
        <is>
          <t>Supports</t>
        </is>
      </c>
      <c r="F81" s="5" t="inlineStr">
        <is>
          <t>Texting and phone calls</t>
        </is>
      </c>
      <c r="G81" s="5" t="inlineStr">
        <is>
          <t>STRONGER TOGETHER PA</t>
        </is>
      </c>
      <c r="H81" s="5" t="inlineStr">
        <is>
          <t>TEXTING</t>
        </is>
      </c>
      <c r="I81" s="5" t="inlineStr">
        <is>
          <t>PHILADELPHIA</t>
        </is>
      </c>
      <c r="J81" s="5" t="inlineStr">
        <is>
          <t>PA</t>
        </is>
      </c>
      <c r="K81" s="33" t="n">
        <v>25000</v>
      </c>
      <c r="L81" s="34" t="n"/>
      <c r="M81" s="5" t="inlineStr">
        <is>
          <t>2026-05-15</t>
        </is>
      </c>
    </row>
    <row r="82">
      <c r="A82" s="5" t="inlineStr">
        <is>
          <t>outside_itemized</t>
        </is>
      </c>
      <c r="B82" s="5" t="n">
        <v>2026</v>
      </c>
      <c r="C82" s="5" t="inlineStr">
        <is>
          <t>Bob Brooks</t>
        </is>
      </c>
      <c r="D82" s="5" t="n"/>
      <c r="E82" s="5" t="inlineStr">
        <is>
          <t>Supports</t>
        </is>
      </c>
      <c r="F82" s="5" t="inlineStr">
        <is>
          <t>Production</t>
        </is>
      </c>
      <c r="G82" s="5" t="inlineStr">
        <is>
          <t>STRONGER TOGETHER PA</t>
        </is>
      </c>
      <c r="H82" s="5" t="inlineStr">
        <is>
          <t>AD PRODUCTION</t>
        </is>
      </c>
      <c r="I82" s="5" t="inlineStr">
        <is>
          <t>PHILADELPHIA</t>
        </is>
      </c>
      <c r="J82" s="5" t="inlineStr">
        <is>
          <t>PA</t>
        </is>
      </c>
      <c r="K82" s="33" t="n">
        <v>25000</v>
      </c>
      <c r="L82" s="34" t="n"/>
      <c r="M82" s="5" t="inlineStr">
        <is>
          <t>2026-04-16</t>
        </is>
      </c>
    </row>
    <row r="83">
      <c r="A83" s="5" t="inlineStr">
        <is>
          <t>outside_itemized</t>
        </is>
      </c>
      <c r="B83" s="5" t="n">
        <v>2026</v>
      </c>
      <c r="C83" s="5" t="inlineStr">
        <is>
          <t>Bob Brooks</t>
        </is>
      </c>
      <c r="D83" s="5" t="n"/>
      <c r="E83" s="5" t="inlineStr">
        <is>
          <t>Supports</t>
        </is>
      </c>
      <c r="F83" s="5" t="inlineStr">
        <is>
          <t>Mail and print</t>
        </is>
      </c>
      <c r="G83" s="5" t="inlineStr">
        <is>
          <t>DLP PAC</t>
        </is>
      </c>
      <c r="H83" s="5" t="inlineStr">
        <is>
          <t>PRINTING AND POSTAGE</t>
        </is>
      </c>
      <c r="I83" s="5" t="inlineStr">
        <is>
          <t>DOVER</t>
        </is>
      </c>
      <c r="J83" s="5" t="inlineStr">
        <is>
          <t>DE</t>
        </is>
      </c>
      <c r="K83" s="33" t="n">
        <v>23584.25</v>
      </c>
      <c r="L83" s="34" t="n"/>
      <c r="M83" s="5" t="inlineStr">
        <is>
          <t>2026-04-01</t>
        </is>
      </c>
    </row>
    <row r="84">
      <c r="A84" s="5" t="inlineStr">
        <is>
          <t>outside_itemized</t>
        </is>
      </c>
      <c r="B84" s="5" t="n">
        <v>2026</v>
      </c>
      <c r="C84" s="5" t="inlineStr">
        <is>
          <t>Bob Brooks</t>
        </is>
      </c>
      <c r="D84" s="5" t="n"/>
      <c r="E84" s="5" t="inlineStr">
        <is>
          <t>Supports</t>
        </is>
      </c>
      <c r="F84" s="5" t="inlineStr">
        <is>
          <t>Texting and phone calls</t>
        </is>
      </c>
      <c r="G84" s="5" t="inlineStr">
        <is>
          <t>STRONGER TOGETHER PA</t>
        </is>
      </c>
      <c r="H84" s="5" t="inlineStr">
        <is>
          <t>TEXTING</t>
        </is>
      </c>
      <c r="I84" s="5" t="inlineStr">
        <is>
          <t>PHILADELPHIA</t>
        </is>
      </c>
      <c r="J84" s="5" t="inlineStr">
        <is>
          <t>PA</t>
        </is>
      </c>
      <c r="K84" s="33" t="n">
        <v>21000</v>
      </c>
      <c r="L84" s="34" t="n"/>
      <c r="M84" s="5" t="inlineStr">
        <is>
          <t>2026-05-13</t>
        </is>
      </c>
    </row>
    <row r="85">
      <c r="A85" s="5" t="inlineStr">
        <is>
          <t>outside_itemized</t>
        </is>
      </c>
      <c r="B85" s="5" t="n">
        <v>2026</v>
      </c>
      <c r="C85" s="5" t="inlineStr">
        <is>
          <t>Bob Brooks</t>
        </is>
      </c>
      <c r="D85" s="5" t="n"/>
      <c r="E85" s="5" t="inlineStr">
        <is>
          <t>Supports</t>
        </is>
      </c>
      <c r="F85" s="5" t="inlineStr">
        <is>
          <t>Mail and print</t>
        </is>
      </c>
      <c r="G85" s="5" t="inlineStr">
        <is>
          <t>DLP PAC</t>
        </is>
      </c>
      <c r="H85" s="5" t="inlineStr">
        <is>
          <t>PRINTING AND POSTAGE</t>
        </is>
      </c>
      <c r="I85" s="5" t="inlineStr">
        <is>
          <t>DOVER</t>
        </is>
      </c>
      <c r="J85" s="5" t="inlineStr">
        <is>
          <t>DE</t>
        </is>
      </c>
      <c r="K85" s="33" t="n">
        <v>19755.5</v>
      </c>
      <c r="L85" s="34" t="n"/>
      <c r="M85" s="5" t="inlineStr">
        <is>
          <t>2026-04-30</t>
        </is>
      </c>
    </row>
    <row r="86">
      <c r="A86" s="5" t="inlineStr">
        <is>
          <t>outside_itemized</t>
        </is>
      </c>
      <c r="B86" s="5" t="n">
        <v>2026</v>
      </c>
      <c r="C86" s="5" t="inlineStr">
        <is>
          <t>Bob Brooks</t>
        </is>
      </c>
      <c r="D86" s="5" t="n"/>
      <c r="E86" s="5" t="inlineStr">
        <is>
          <t>Supports</t>
        </is>
      </c>
      <c r="F86" s="5" t="inlineStr">
        <is>
          <t>Mail and print</t>
        </is>
      </c>
      <c r="G86" s="5" t="inlineStr">
        <is>
          <t>DLP PAC</t>
        </is>
      </c>
      <c r="H86" s="5" t="inlineStr">
        <is>
          <t>PRINTING AND POSTAGE</t>
        </is>
      </c>
      <c r="I86" s="5" t="inlineStr">
        <is>
          <t>DOVER</t>
        </is>
      </c>
      <c r="J86" s="5" t="inlineStr">
        <is>
          <t>DE</t>
        </is>
      </c>
      <c r="K86" s="33" t="n">
        <v>19755.5</v>
      </c>
      <c r="L86" s="34" t="n"/>
      <c r="M86" s="5" t="inlineStr">
        <is>
          <t>2026-04-22</t>
        </is>
      </c>
    </row>
    <row r="87">
      <c r="A87" s="5" t="inlineStr">
        <is>
          <t>outside_itemized</t>
        </is>
      </c>
      <c r="B87" s="5" t="n">
        <v>2026</v>
      </c>
      <c r="C87" s="5" t="inlineStr">
        <is>
          <t>Bob Brooks</t>
        </is>
      </c>
      <c r="D87" s="5" t="n"/>
      <c r="E87" s="5" t="inlineStr">
        <is>
          <t>Supports</t>
        </is>
      </c>
      <c r="F87" s="5" t="inlineStr">
        <is>
          <t>Digital advertising</t>
        </is>
      </c>
      <c r="G87" s="5" t="inlineStr">
        <is>
          <t>CONGRESSIONAL PROGRESSIVE CAUCUS PAC</t>
        </is>
      </c>
      <c r="H87" s="5" t="inlineStr">
        <is>
          <t>DIGITAL AD PRODUCTION - ACTUAL AMOUNT OF ESTIMATE PREVIOUSLY REPORTED 04/29/2026</t>
        </is>
      </c>
      <c r="I87" s="5" t="inlineStr">
        <is>
          <t>CHICAGO</t>
        </is>
      </c>
      <c r="J87" s="5" t="inlineStr">
        <is>
          <t>IL</t>
        </is>
      </c>
      <c r="K87" s="33" t="n">
        <v>12300</v>
      </c>
      <c r="L87" s="34" t="n"/>
      <c r="M87" s="5" t="inlineStr">
        <is>
          <t>2026-04-30</t>
        </is>
      </c>
    </row>
    <row r="88">
      <c r="A88" s="5" t="inlineStr">
        <is>
          <t>outside_itemized</t>
        </is>
      </c>
      <c r="B88" s="5" t="n">
        <v>2026</v>
      </c>
      <c r="C88" s="5" t="inlineStr">
        <is>
          <t>Bob Brooks</t>
        </is>
      </c>
      <c r="D88" s="5" t="n"/>
      <c r="E88" s="5" t="inlineStr">
        <is>
          <t>Supports</t>
        </is>
      </c>
      <c r="F88" s="5" t="inlineStr">
        <is>
          <t>Canvassing and field</t>
        </is>
      </c>
      <c r="G88" s="5" t="inlineStr">
        <is>
          <t>MAKE THE ROAD ACTION POLITICAL COMMITTEE</t>
        </is>
      </c>
      <c r="H88" s="5" t="inlineStr">
        <is>
          <t>CANVASSING SERVICES  (CORRESPONDING MEMO ON 24/48 CAN NOT BE DELETED IN FECFILE)</t>
        </is>
      </c>
      <c r="I88" s="5" t="inlineStr">
        <is>
          <t>BROOKLYN</t>
        </is>
      </c>
      <c r="J88" s="5" t="inlineStr">
        <is>
          <t>NY</t>
        </is>
      </c>
      <c r="K88" s="33" t="n">
        <v>12062</v>
      </c>
      <c r="L88" s="34" t="n"/>
      <c r="M88" s="5" t="inlineStr">
        <is>
          <t>2026-06-01</t>
        </is>
      </c>
    </row>
    <row r="89">
      <c r="A89" s="5" t="inlineStr">
        <is>
          <t>outside_itemized</t>
        </is>
      </c>
      <c r="B89" s="5" t="n">
        <v>2026</v>
      </c>
      <c r="C89" s="5" t="inlineStr">
        <is>
          <t>Bob Brooks</t>
        </is>
      </c>
      <c r="D89" s="5" t="n"/>
      <c r="E89" s="5" t="inlineStr">
        <is>
          <t>Supports</t>
        </is>
      </c>
      <c r="F89" s="5" t="inlineStr">
        <is>
          <t>Texting and phone calls</t>
        </is>
      </c>
      <c r="G89" s="5" t="inlineStr">
        <is>
          <t>BLUE MAJORITY PROJECT</t>
        </is>
      </c>
      <c r="H89" s="5" t="inlineStr">
        <is>
          <t>NON-CONTRIBUTION ACCOUT: TEXT MESSAGES</t>
        </is>
      </c>
      <c r="I89" s="5" t="inlineStr">
        <is>
          <t>DOVER</t>
        </is>
      </c>
      <c r="J89" s="5" t="inlineStr">
        <is>
          <t>DE</t>
        </is>
      </c>
      <c r="K89" s="33" t="n">
        <v>11510</v>
      </c>
      <c r="L89" s="34" t="n"/>
      <c r="M89" s="5" t="inlineStr">
        <is>
          <t>2025-12-21</t>
        </is>
      </c>
    </row>
    <row r="90">
      <c r="A90" s="5" t="inlineStr">
        <is>
          <t>outside_itemized</t>
        </is>
      </c>
      <c r="B90" s="5" t="n">
        <v>2026</v>
      </c>
      <c r="C90" s="5" t="inlineStr">
        <is>
          <t>Bob Brooks</t>
        </is>
      </c>
      <c r="D90" s="5" t="n"/>
      <c r="E90" s="5" t="inlineStr">
        <is>
          <t>Supports</t>
        </is>
      </c>
      <c r="F90" s="5" t="inlineStr">
        <is>
          <t>Television and media buys</t>
        </is>
      </c>
      <c r="G90" s="5" t="inlineStr">
        <is>
          <t>STRONGER TOGETHER PA</t>
        </is>
      </c>
      <c r="H90" s="5" t="inlineStr">
        <is>
          <t>AD BUY</t>
        </is>
      </c>
      <c r="I90" s="5" t="inlineStr">
        <is>
          <t>PHILADELPHIA</t>
        </is>
      </c>
      <c r="J90" s="5" t="inlineStr">
        <is>
          <t>PA</t>
        </is>
      </c>
      <c r="K90" s="33" t="n">
        <v>10000</v>
      </c>
      <c r="L90" s="34" t="n"/>
      <c r="M90" s="5" t="inlineStr">
        <is>
          <t>2026-05-08</t>
        </is>
      </c>
    </row>
    <row r="91">
      <c r="A91" s="5" t="inlineStr">
        <is>
          <t>outside_itemized</t>
        </is>
      </c>
      <c r="B91" s="5" t="n">
        <v>2026</v>
      </c>
      <c r="C91" s="5" t="inlineStr">
        <is>
          <t>Bob Brooks</t>
        </is>
      </c>
      <c r="D91" s="5" t="n"/>
      <c r="E91" s="5" t="inlineStr">
        <is>
          <t>Opposes</t>
        </is>
      </c>
      <c r="F91" s="5" t="inlineStr">
        <is>
          <t>Mail and print</t>
        </is>
      </c>
      <c r="G91" s="5" t="inlineStr">
        <is>
          <t>LEAD LEFT PAC</t>
        </is>
      </c>
      <c r="H91" s="5" t="inlineStr">
        <is>
          <t>PRINTING  / POSTAGE</t>
        </is>
      </c>
      <c r="I91" s="5" t="inlineStr">
        <is>
          <t>PENSACOLA</t>
        </is>
      </c>
      <c r="J91" s="5" t="inlineStr">
        <is>
          <t>FL</t>
        </is>
      </c>
      <c r="K91" s="33" t="n">
        <v>9161.42</v>
      </c>
      <c r="L91" s="34" t="n"/>
      <c r="M91" s="5" t="inlineStr">
        <is>
          <t>2026-05-18</t>
        </is>
      </c>
    </row>
    <row r="92">
      <c r="A92" s="5" t="inlineStr">
        <is>
          <t>outside_itemized</t>
        </is>
      </c>
      <c r="B92" s="5" t="n">
        <v>2026</v>
      </c>
      <c r="C92" s="5" t="inlineStr">
        <is>
          <t>Bob Brooks</t>
        </is>
      </c>
      <c r="D92" s="5" t="n"/>
      <c r="E92" s="5" t="inlineStr">
        <is>
          <t>Opposes</t>
        </is>
      </c>
      <c r="F92" s="5" t="inlineStr">
        <is>
          <t>Mail and print</t>
        </is>
      </c>
      <c r="G92" s="5" t="inlineStr">
        <is>
          <t>LEAD LEFT PAC</t>
        </is>
      </c>
      <c r="H92" s="5" t="inlineStr">
        <is>
          <t>PRINTING  / POSTAGE</t>
        </is>
      </c>
      <c r="I92" s="5" t="inlineStr">
        <is>
          <t>PENSACOLA</t>
        </is>
      </c>
      <c r="J92" s="5" t="inlineStr">
        <is>
          <t>FL</t>
        </is>
      </c>
      <c r="K92" s="33" t="n">
        <v>9154.690000000001</v>
      </c>
      <c r="L92" s="34" t="n"/>
      <c r="M92" s="5" t="inlineStr">
        <is>
          <t>2026-05-07</t>
        </is>
      </c>
    </row>
    <row r="93">
      <c r="A93" s="5" t="inlineStr">
        <is>
          <t>outside_itemized</t>
        </is>
      </c>
      <c r="B93" s="5" t="n">
        <v>2026</v>
      </c>
      <c r="C93" s="5" t="inlineStr">
        <is>
          <t>Bob Brooks</t>
        </is>
      </c>
      <c r="D93" s="5" t="n"/>
      <c r="E93" s="5" t="inlineStr">
        <is>
          <t>Opposes</t>
        </is>
      </c>
      <c r="F93" s="5" t="inlineStr">
        <is>
          <t>Mail and print</t>
        </is>
      </c>
      <c r="G93" s="5" t="inlineStr">
        <is>
          <t>LEAD LEFT PAC</t>
        </is>
      </c>
      <c r="H93" s="5" t="inlineStr">
        <is>
          <t>PRINTING  / POSTAGE</t>
        </is>
      </c>
      <c r="I93" s="5" t="inlineStr">
        <is>
          <t>PENSACOLA</t>
        </is>
      </c>
      <c r="J93" s="5" t="inlineStr">
        <is>
          <t>FL</t>
        </is>
      </c>
      <c r="K93" s="33" t="n">
        <v>9153.559999999999</v>
      </c>
      <c r="L93" s="34" t="n"/>
      <c r="M93" s="5" t="inlineStr">
        <is>
          <t>2026-05-07</t>
        </is>
      </c>
    </row>
    <row r="94">
      <c r="A94" s="5" t="inlineStr">
        <is>
          <t>outside_itemized</t>
        </is>
      </c>
      <c r="B94" s="5" t="n">
        <v>2026</v>
      </c>
      <c r="C94" s="5" t="inlineStr">
        <is>
          <t>Bob Brooks</t>
        </is>
      </c>
      <c r="D94" s="5" t="n"/>
      <c r="E94" s="5" t="inlineStr">
        <is>
          <t>Opposes</t>
        </is>
      </c>
      <c r="F94" s="5" t="inlineStr">
        <is>
          <t>Mail and print</t>
        </is>
      </c>
      <c r="G94" s="5" t="inlineStr">
        <is>
          <t>LEAD LEFT PAC</t>
        </is>
      </c>
      <c r="H94" s="5" t="inlineStr">
        <is>
          <t>PRINTING  / POSTAGE</t>
        </is>
      </c>
      <c r="I94" s="5" t="inlineStr">
        <is>
          <t>PENSACOLA</t>
        </is>
      </c>
      <c r="J94" s="5" t="inlineStr">
        <is>
          <t>FL</t>
        </is>
      </c>
      <c r="K94" s="33" t="n">
        <v>9145.43</v>
      </c>
      <c r="L94" s="34" t="n"/>
      <c r="M94" s="5" t="inlineStr">
        <is>
          <t>2026-05-13</t>
        </is>
      </c>
    </row>
    <row r="95">
      <c r="A95" s="5" t="inlineStr">
        <is>
          <t>outside_itemized</t>
        </is>
      </c>
      <c r="B95" s="5" t="n">
        <v>2026</v>
      </c>
      <c r="C95" s="5" t="inlineStr">
        <is>
          <t>Bob Brooks</t>
        </is>
      </c>
      <c r="D95" s="5" t="n"/>
      <c r="E95" s="5" t="inlineStr">
        <is>
          <t>Supports</t>
        </is>
      </c>
      <c r="F95" s="5" t="inlineStr">
        <is>
          <t>Texting and phone calls</t>
        </is>
      </c>
      <c r="G95" s="5" t="inlineStr">
        <is>
          <t>BLUE BATTLEGROUND PROJECT</t>
        </is>
      </c>
      <c r="H95" s="5" t="inlineStr">
        <is>
          <t>TEXT MESSAGES</t>
        </is>
      </c>
      <c r="I95" s="5" t="inlineStr">
        <is>
          <t>DOVER</t>
        </is>
      </c>
      <c r="J95" s="5" t="inlineStr">
        <is>
          <t>DE</t>
        </is>
      </c>
      <c r="K95" s="33" t="n">
        <v>9116.67</v>
      </c>
      <c r="L95" s="34" t="n"/>
      <c r="M95" s="5" t="inlineStr">
        <is>
          <t>2026-02-24</t>
        </is>
      </c>
    </row>
    <row r="96">
      <c r="A96" s="5" t="inlineStr">
        <is>
          <t>outside_itemized</t>
        </is>
      </c>
      <c r="B96" s="5" t="n">
        <v>2026</v>
      </c>
      <c r="C96" s="5" t="inlineStr">
        <is>
          <t>Bob Brooks</t>
        </is>
      </c>
      <c r="D96" s="5" t="n"/>
      <c r="E96" s="5" t="inlineStr">
        <is>
          <t>Supports</t>
        </is>
      </c>
      <c r="F96" s="5" t="inlineStr">
        <is>
          <t>Canvassing and field</t>
        </is>
      </c>
      <c r="G96" s="5" t="inlineStr">
        <is>
          <t>MAKE THE ROAD ACTION POLITICAL COMMITTEE</t>
        </is>
      </c>
      <c r="H96" s="5" t="inlineStr">
        <is>
          <t>CANVASSING SERVICES  (CORRESPONDING MEMO ON 24/48 CAN NOT BE DELETED IN FECFILE)</t>
        </is>
      </c>
      <c r="I96" s="5" t="inlineStr">
        <is>
          <t>BROOKLYN</t>
        </is>
      </c>
      <c r="J96" s="5" t="inlineStr">
        <is>
          <t>NY</t>
        </is>
      </c>
      <c r="K96" s="33" t="n">
        <v>6405</v>
      </c>
      <c r="L96" s="34" t="n"/>
      <c r="M96" s="5" t="inlineStr">
        <is>
          <t>2026-04-17</t>
        </is>
      </c>
    </row>
    <row r="97">
      <c r="A97" s="5" t="inlineStr">
        <is>
          <t>outside_itemized</t>
        </is>
      </c>
      <c r="B97" s="5" t="n">
        <v>2026</v>
      </c>
      <c r="C97" s="5" t="inlineStr">
        <is>
          <t>Ryan Mackenzie</t>
        </is>
      </c>
      <c r="D97" s="5" t="n"/>
      <c r="E97" s="5" t="inlineStr">
        <is>
          <t>Opposes</t>
        </is>
      </c>
      <c r="F97" s="5" t="inlineStr">
        <is>
          <t>Mail and print</t>
        </is>
      </c>
      <c r="G97" s="5" t="inlineStr">
        <is>
          <t>YOUTH SAVE DEMOCRACY PAC</t>
        </is>
      </c>
      <c r="H97" s="5" t="inlineStr">
        <is>
          <t>PRINTING AND POSTAGE</t>
        </is>
      </c>
      <c r="I97" s="5" t="inlineStr">
        <is>
          <t>SAN ANTONIO</t>
        </is>
      </c>
      <c r="J97" s="5" t="inlineStr">
        <is>
          <t>TX</t>
        </is>
      </c>
      <c r="K97" s="33" t="n">
        <v>6044</v>
      </c>
      <c r="L97" s="34" t="n"/>
      <c r="M97" s="5" t="inlineStr">
        <is>
          <t>2025-04-14</t>
        </is>
      </c>
    </row>
    <row r="98">
      <c r="A98" s="5" t="inlineStr">
        <is>
          <t>outside_itemized</t>
        </is>
      </c>
      <c r="B98" s="5" t="n">
        <v>2026</v>
      </c>
      <c r="C98" s="5" t="inlineStr">
        <is>
          <t>Bob Brooks</t>
        </is>
      </c>
      <c r="D98" s="5" t="n"/>
      <c r="E98" s="5" t="inlineStr">
        <is>
          <t>Supports</t>
        </is>
      </c>
      <c r="F98" s="5" t="inlineStr">
        <is>
          <t>Mail and print</t>
        </is>
      </c>
      <c r="G98" s="5" t="inlineStr">
        <is>
          <t>WORKING FAMILIES PARTY PAC</t>
        </is>
      </c>
      <c r="H98" s="5" t="inlineStr">
        <is>
          <t>DIRECT MAIL  FEC-1979274</t>
        </is>
      </c>
      <c r="I98" s="5" t="inlineStr">
        <is>
          <t>BROOKLYN</t>
        </is>
      </c>
      <c r="J98" s="5" t="inlineStr">
        <is>
          <t>NY</t>
        </is>
      </c>
      <c r="K98" s="33" t="n">
        <v>4639.8</v>
      </c>
      <c r="L98" s="34" t="n"/>
      <c r="M98" s="5" t="inlineStr">
        <is>
          <t>2026-08-10</t>
        </is>
      </c>
    </row>
    <row r="99">
      <c r="A99" s="5" t="inlineStr">
        <is>
          <t>outside_itemized</t>
        </is>
      </c>
      <c r="B99" s="5" t="n">
        <v>2026</v>
      </c>
      <c r="C99" s="5" t="inlineStr">
        <is>
          <t>Bob Brooks</t>
        </is>
      </c>
      <c r="D99" s="5" t="n"/>
      <c r="E99" s="5" t="inlineStr">
        <is>
          <t>Supports</t>
        </is>
      </c>
      <c r="F99" s="5" t="inlineStr">
        <is>
          <t>Digital advertising</t>
        </is>
      </c>
      <c r="G99" s="5" t="inlineStr">
        <is>
          <t>MEDICARE FOR ALL</t>
        </is>
      </c>
      <c r="H99" s="5" t="inlineStr">
        <is>
          <t>DIGITAL ADVERTISING PRODUCTION -ACTUAL COST</t>
        </is>
      </c>
      <c r="I99" s="5" t="inlineStr">
        <is>
          <t>CHICAGO</t>
        </is>
      </c>
      <c r="J99" s="5" t="inlineStr">
        <is>
          <t>IL</t>
        </is>
      </c>
      <c r="K99" s="33" t="n">
        <v>4625</v>
      </c>
      <c r="L99" s="34" t="n"/>
      <c r="M99" s="5" t="inlineStr">
        <is>
          <t>2026-05-18</t>
        </is>
      </c>
    </row>
    <row r="100">
      <c r="A100" s="5" t="inlineStr">
        <is>
          <t>outside_itemized</t>
        </is>
      </c>
      <c r="B100" s="5" t="n">
        <v>2026</v>
      </c>
      <c r="C100" s="5" t="inlineStr">
        <is>
          <t>Bob Brooks</t>
        </is>
      </c>
      <c r="D100" s="5" t="n"/>
      <c r="E100" s="5" t="inlineStr">
        <is>
          <t>Supports</t>
        </is>
      </c>
      <c r="F100" s="5" t="inlineStr">
        <is>
          <t>Texting and phone calls</t>
        </is>
      </c>
      <c r="G100" s="5" t="inlineStr">
        <is>
          <t>BLUE MAJORITY PROJECT</t>
        </is>
      </c>
      <c r="H100" s="5" t="inlineStr">
        <is>
          <t>NON-CONTRIBUTION ACCOUT: TEXT MESSAGES</t>
        </is>
      </c>
      <c r="I100" s="5" t="inlineStr">
        <is>
          <t>DOVER</t>
        </is>
      </c>
      <c r="J100" s="5" t="inlineStr">
        <is>
          <t>DE</t>
        </is>
      </c>
      <c r="K100" s="33" t="n">
        <v>4250</v>
      </c>
      <c r="L100" s="34" t="n"/>
      <c r="M100" s="5" t="inlineStr">
        <is>
          <t>2025-10-29</t>
        </is>
      </c>
    </row>
    <row r="101">
      <c r="A101" s="5" t="inlineStr">
        <is>
          <t>outside_itemized</t>
        </is>
      </c>
      <c r="B101" s="5" t="n">
        <v>2026</v>
      </c>
      <c r="C101" s="5" t="inlineStr">
        <is>
          <t>Bob Brooks</t>
        </is>
      </c>
      <c r="D101" s="5" t="n"/>
      <c r="E101" s="5" t="inlineStr">
        <is>
          <t>Supports</t>
        </is>
      </c>
      <c r="F101" s="5" t="inlineStr">
        <is>
          <t>Television and media buys</t>
        </is>
      </c>
      <c r="G101" s="5" t="inlineStr">
        <is>
          <t>STRONGER TOGETHER PA</t>
        </is>
      </c>
      <c r="H101" s="5" t="inlineStr">
        <is>
          <t>AD BUY</t>
        </is>
      </c>
      <c r="I101" s="5" t="inlineStr">
        <is>
          <t>PHILADELPHIA</t>
        </is>
      </c>
      <c r="J101" s="5" t="inlineStr">
        <is>
          <t>PA</t>
        </is>
      </c>
      <c r="K101" s="33" t="n">
        <v>4000</v>
      </c>
      <c r="L101" s="34" t="n"/>
      <c r="M101" s="5" t="inlineStr">
        <is>
          <t>2026-05-13</t>
        </is>
      </c>
    </row>
    <row r="102">
      <c r="A102" s="5" t="inlineStr">
        <is>
          <t>outside_itemized</t>
        </is>
      </c>
      <c r="B102" s="5" t="n">
        <v>2026</v>
      </c>
      <c r="C102" s="5" t="inlineStr">
        <is>
          <t>Bob Brooks</t>
        </is>
      </c>
      <c r="D102" s="5" t="n"/>
      <c r="E102" s="5" t="inlineStr">
        <is>
          <t>Supports</t>
        </is>
      </c>
      <c r="F102" s="5" t="inlineStr">
        <is>
          <t>Texting and phone calls</t>
        </is>
      </c>
      <c r="G102" s="5" t="inlineStr">
        <is>
          <t>MAJORITY BLUE PAC</t>
        </is>
      </c>
      <c r="H102" s="5" t="inlineStr">
        <is>
          <t>TEXT MESSAGES</t>
        </is>
      </c>
      <c r="I102" s="5" t="inlineStr">
        <is>
          <t>DOVER</t>
        </is>
      </c>
      <c r="J102" s="5" t="inlineStr">
        <is>
          <t>DE</t>
        </is>
      </c>
      <c r="K102" s="33" t="n">
        <v>3766.66</v>
      </c>
      <c r="L102" s="34" t="n"/>
      <c r="M102" s="5" t="inlineStr">
        <is>
          <t>2026-06-22</t>
        </is>
      </c>
    </row>
    <row r="103">
      <c r="A103" s="5" t="inlineStr">
        <is>
          <t>outside_itemized</t>
        </is>
      </c>
      <c r="B103" s="5" t="n">
        <v>2026</v>
      </c>
      <c r="C103" s="5" t="inlineStr">
        <is>
          <t>Bob Brooks</t>
        </is>
      </c>
      <c r="D103" s="5" t="n"/>
      <c r="E103" s="5" t="inlineStr">
        <is>
          <t>Supports</t>
        </is>
      </c>
      <c r="F103" s="5" t="inlineStr">
        <is>
          <t>Texting and phone calls</t>
        </is>
      </c>
      <c r="G103" s="5" t="inlineStr">
        <is>
          <t>BLUE SHIFT PAC</t>
        </is>
      </c>
      <c r="H103" s="5" t="inlineStr">
        <is>
          <t>TEXT MESSAGES</t>
        </is>
      </c>
      <c r="I103" s="5" t="inlineStr">
        <is>
          <t>DOVER</t>
        </is>
      </c>
      <c r="J103" s="5" t="inlineStr">
        <is>
          <t>DE</t>
        </is>
      </c>
      <c r="K103" s="33" t="n">
        <v>3625</v>
      </c>
      <c r="L103" s="34" t="n"/>
      <c r="M103" s="5" t="inlineStr">
        <is>
          <t>2026-06-22</t>
        </is>
      </c>
    </row>
    <row r="104">
      <c r="A104" s="5" t="inlineStr">
        <is>
          <t>outside_itemized</t>
        </is>
      </c>
      <c r="B104" s="5" t="n">
        <v>2026</v>
      </c>
      <c r="C104" s="5" t="inlineStr">
        <is>
          <t>Bob Brooks</t>
        </is>
      </c>
      <c r="D104" s="5" t="n"/>
      <c r="E104" s="5" t="inlineStr">
        <is>
          <t>Supports</t>
        </is>
      </c>
      <c r="F104" s="5" t="inlineStr">
        <is>
          <t>Mail and print</t>
        </is>
      </c>
      <c r="G104" s="5" t="inlineStr">
        <is>
          <t>WORKING FAMILIES PARTY PAC</t>
        </is>
      </c>
      <c r="H104" s="5" t="inlineStr">
        <is>
          <t>PRINTING</t>
        </is>
      </c>
      <c r="I104" s="5" t="inlineStr">
        <is>
          <t>PHILADELPHIA</t>
        </is>
      </c>
      <c r="J104" s="5" t="inlineStr">
        <is>
          <t>PA</t>
        </is>
      </c>
      <c r="K104" s="33" t="n">
        <v>3556.19</v>
      </c>
      <c r="L104" s="34" t="n"/>
      <c r="M104" s="5" t="inlineStr">
        <is>
          <t>2026-05-18</t>
        </is>
      </c>
    </row>
    <row r="105">
      <c r="A105" s="5" t="inlineStr">
        <is>
          <t>outside_itemized</t>
        </is>
      </c>
      <c r="B105" s="5" t="n">
        <v>2026</v>
      </c>
      <c r="C105" s="5" t="inlineStr">
        <is>
          <t>Bob Brooks</t>
        </is>
      </c>
      <c r="D105" s="5" t="n"/>
      <c r="E105" s="5" t="inlineStr">
        <is>
          <t>Supports</t>
        </is>
      </c>
      <c r="F105" s="5" t="inlineStr">
        <is>
          <t>Television and media buys</t>
        </is>
      </c>
      <c r="G105" s="5" t="inlineStr">
        <is>
          <t>FF PAC</t>
        </is>
      </c>
      <c r="H105" s="5" t="inlineStr">
        <is>
          <t>MEDIA BUY AND AD SERVICING</t>
        </is>
      </c>
      <c r="I105" s="5" t="inlineStr">
        <is>
          <t>WASHINGTON</t>
        </is>
      </c>
      <c r="J105" s="5" t="inlineStr">
        <is>
          <t>DC</t>
        </is>
      </c>
      <c r="K105" s="33" t="n">
        <v>3300</v>
      </c>
      <c r="L105" s="34" t="n"/>
      <c r="M105" s="5" t="inlineStr">
        <is>
          <t>2026-05-18</t>
        </is>
      </c>
    </row>
    <row r="106">
      <c r="A106" s="5" t="inlineStr">
        <is>
          <t>outside_itemized</t>
        </is>
      </c>
      <c r="B106" s="5" t="n">
        <v>2026</v>
      </c>
      <c r="C106" s="5" t="inlineStr">
        <is>
          <t>Bob Brooks</t>
        </is>
      </c>
      <c r="D106" s="5" t="n"/>
      <c r="E106" s="5" t="inlineStr">
        <is>
          <t>Supports</t>
        </is>
      </c>
      <c r="F106" s="5" t="inlineStr">
        <is>
          <t>Canvassing and field</t>
        </is>
      </c>
      <c r="G106" s="5" t="inlineStr">
        <is>
          <t>MAKE THE ROAD ACTION POLITICAL COMMITTEE</t>
        </is>
      </c>
      <c r="H106" s="5" t="inlineStr">
        <is>
          <t>CANVASSING SERVICES  (CORRESPONDING MEMO ON 24/48 CAN NOT BE DELETED IN FECFILE)</t>
        </is>
      </c>
      <c r="I106" s="5" t="inlineStr">
        <is>
          <t>BROOKLYN</t>
        </is>
      </c>
      <c r="J106" s="5" t="inlineStr">
        <is>
          <t>NY</t>
        </is>
      </c>
      <c r="K106" s="33" t="n">
        <v>3160.5</v>
      </c>
      <c r="L106" s="34" t="n"/>
      <c r="M106" s="5" t="inlineStr">
        <is>
          <t>2026-04-04</t>
        </is>
      </c>
    </row>
    <row r="107">
      <c r="A107" s="5" t="inlineStr">
        <is>
          <t>outside_itemized</t>
        </is>
      </c>
      <c r="B107" s="5" t="n">
        <v>2026</v>
      </c>
      <c r="C107" s="5" t="inlineStr">
        <is>
          <t>Bob Brooks</t>
        </is>
      </c>
      <c r="D107" s="5" t="n"/>
      <c r="E107" s="5" t="inlineStr">
        <is>
          <t>Supports</t>
        </is>
      </c>
      <c r="F107" s="5" t="inlineStr">
        <is>
          <t>Canvassing and field</t>
        </is>
      </c>
      <c r="G107" s="5" t="inlineStr">
        <is>
          <t>MAKE THE ROAD ACTION POLITICAL COMMITTEE</t>
        </is>
      </c>
      <c r="H107" s="5" t="inlineStr">
        <is>
          <t>CANVASSING SERVICES  (CORRESPONDING MEMO ON 24/48 CAN NOT BE DELETED IN FECFILE)</t>
        </is>
      </c>
      <c r="I107" s="5" t="inlineStr">
        <is>
          <t>BROOKLYN</t>
        </is>
      </c>
      <c r="J107" s="5" t="inlineStr">
        <is>
          <t>NY</t>
        </is>
      </c>
      <c r="K107" s="33" t="n">
        <v>3118.5</v>
      </c>
      <c r="L107" s="34" t="n"/>
      <c r="M107" s="5" t="inlineStr">
        <is>
          <t>2026-04-10</t>
        </is>
      </c>
    </row>
    <row r="108">
      <c r="A108" s="5" t="inlineStr">
        <is>
          <t>outside_itemized</t>
        </is>
      </c>
      <c r="B108" s="5" t="n">
        <v>2026</v>
      </c>
      <c r="C108" s="5" t="inlineStr">
        <is>
          <t>Bob Brooks</t>
        </is>
      </c>
      <c r="D108" s="5" t="n"/>
      <c r="E108" s="5" t="inlineStr">
        <is>
          <t>Supports</t>
        </is>
      </c>
      <c r="F108" s="5" t="inlineStr">
        <is>
          <t>Canvassing and field</t>
        </is>
      </c>
      <c r="G108" s="5" t="inlineStr">
        <is>
          <t>MAKE THE ROAD ACTION POLITICAL COMMITTEE</t>
        </is>
      </c>
      <c r="H108" s="5" t="inlineStr">
        <is>
          <t>CANVASSING SERVICES (CORRESPONDING MEMO ON 24/48 CAN NOT BE DELETED IN FECFILE)</t>
        </is>
      </c>
      <c r="I108" s="5" t="inlineStr">
        <is>
          <t>BROOKLYN</t>
        </is>
      </c>
      <c r="J108" s="5" t="inlineStr">
        <is>
          <t>NY</t>
        </is>
      </c>
      <c r="K108" s="33" t="n">
        <v>2940</v>
      </c>
      <c r="L108" s="34" t="n"/>
      <c r="M108" s="5" t="inlineStr">
        <is>
          <t>2026-06-01</t>
        </is>
      </c>
    </row>
    <row r="109">
      <c r="A109" s="5" t="inlineStr">
        <is>
          <t>outside_itemized</t>
        </is>
      </c>
      <c r="B109" s="5" t="n">
        <v>2026</v>
      </c>
      <c r="C109" s="5" t="inlineStr">
        <is>
          <t>Bob Brooks</t>
        </is>
      </c>
      <c r="D109" s="5" t="n"/>
      <c r="E109" s="5" t="inlineStr">
        <is>
          <t>Opposes</t>
        </is>
      </c>
      <c r="F109" s="5" t="inlineStr">
        <is>
          <t>Radio</t>
        </is>
      </c>
      <c r="G109" s="5" t="inlineStr">
        <is>
          <t>KITCHEN TABLE VALUES PAC</t>
        </is>
      </c>
      <c r="H109" s="5" t="inlineStr">
        <is>
          <t>RADIO AD</t>
        </is>
      </c>
      <c r="I109" s="5" t="inlineStr">
        <is>
          <t>ALLENTOWN</t>
        </is>
      </c>
      <c r="J109" s="5" t="inlineStr">
        <is>
          <t>PA</t>
        </is>
      </c>
      <c r="K109" s="33" t="n">
        <v>2040</v>
      </c>
      <c r="L109" s="34" t="n"/>
      <c r="M109" s="5" t="inlineStr">
        <is>
          <t>2026-05-11</t>
        </is>
      </c>
    </row>
    <row r="110">
      <c r="A110" s="5" t="inlineStr">
        <is>
          <t>outside_itemized</t>
        </is>
      </c>
      <c r="B110" s="5" t="n">
        <v>2026</v>
      </c>
      <c r="C110" s="5" t="inlineStr">
        <is>
          <t>Bob Brooks</t>
        </is>
      </c>
      <c r="D110" s="5" t="n"/>
      <c r="E110" s="5" t="inlineStr">
        <is>
          <t>Supports</t>
        </is>
      </c>
      <c r="F110" s="5" t="inlineStr">
        <is>
          <t>Texting and phone calls</t>
        </is>
      </c>
      <c r="G110" s="5" t="inlineStr">
        <is>
          <t>SEIU COPE (SERVICE EMPLOYEES INTERNATIONAL UNION COMMITTEE ON POLITICAL EDUCATION)</t>
        </is>
      </c>
      <c r="H110" s="5" t="inlineStr">
        <is>
          <t>PAYMENT FOR TEXTING AS DISCLOSED ON 5/17 24-HOUR NOTICE &amp; 6/20 MONTHLY REPORT</t>
        </is>
      </c>
      <c r="I110" s="5" t="inlineStr">
        <is>
          <t>SANTA ANA</t>
        </is>
      </c>
      <c r="J110" s="5" t="inlineStr">
        <is>
          <t>CA</t>
        </is>
      </c>
      <c r="K110" s="33" t="n">
        <v>2001.41</v>
      </c>
      <c r="L110" s="34" t="n"/>
      <c r="M110" s="5" t="inlineStr">
        <is>
          <t>2026-08-13</t>
        </is>
      </c>
    </row>
    <row r="111">
      <c r="A111" s="5" t="inlineStr">
        <is>
          <t>outside_itemized</t>
        </is>
      </c>
      <c r="B111" s="5" t="n">
        <v>2026</v>
      </c>
      <c r="C111" s="5" t="inlineStr">
        <is>
          <t>Bob Brooks</t>
        </is>
      </c>
      <c r="D111" s="5" t="n"/>
      <c r="E111" s="5" t="inlineStr">
        <is>
          <t>Opposes</t>
        </is>
      </c>
      <c r="F111" s="5" t="inlineStr">
        <is>
          <t>Texting and phone calls</t>
        </is>
      </c>
      <c r="G111" s="5" t="inlineStr">
        <is>
          <t>KITCHEN TABLE VALUES PAC</t>
        </is>
      </c>
      <c r="H111" s="5" t="inlineStr">
        <is>
          <t>TEXTS</t>
        </is>
      </c>
      <c r="I111" s="5" t="inlineStr">
        <is>
          <t>BETHLEHEM</t>
        </is>
      </c>
      <c r="J111" s="5" t="inlineStr">
        <is>
          <t>PA</t>
        </is>
      </c>
      <c r="K111" s="33" t="n">
        <v>1700</v>
      </c>
      <c r="L111" s="34" t="n"/>
      <c r="M111" s="5" t="inlineStr">
        <is>
          <t>2026-05-05</t>
        </is>
      </c>
    </row>
    <row r="112">
      <c r="A112" s="5" t="inlineStr">
        <is>
          <t>outside_itemized</t>
        </is>
      </c>
      <c r="B112" s="5" t="n">
        <v>2026</v>
      </c>
      <c r="C112" s="5" t="inlineStr">
        <is>
          <t>Bob Brooks</t>
        </is>
      </c>
      <c r="D112" s="5" t="n"/>
      <c r="E112" s="5" t="inlineStr">
        <is>
          <t>Opposes</t>
        </is>
      </c>
      <c r="F112" s="5" t="inlineStr">
        <is>
          <t>Texting and phone calls</t>
        </is>
      </c>
      <c r="G112" s="5" t="inlineStr">
        <is>
          <t>KITCHEN TABLE VALUES PAC</t>
        </is>
      </c>
      <c r="H112" s="5" t="inlineStr">
        <is>
          <t>TEXTS</t>
        </is>
      </c>
      <c r="I112" s="5" t="inlineStr">
        <is>
          <t>BETHLEHEM</t>
        </is>
      </c>
      <c r="J112" s="5" t="inlineStr">
        <is>
          <t>PA</t>
        </is>
      </c>
      <c r="K112" s="33" t="n">
        <v>1700</v>
      </c>
      <c r="L112" s="34" t="n"/>
      <c r="M112" s="5" t="inlineStr">
        <is>
          <t>2026-04-29</t>
        </is>
      </c>
    </row>
    <row r="113">
      <c r="A113" s="5" t="inlineStr">
        <is>
          <t>outside_itemized</t>
        </is>
      </c>
      <c r="B113" s="5" t="n">
        <v>2026</v>
      </c>
      <c r="C113" s="5" t="inlineStr">
        <is>
          <t>Bob Brooks</t>
        </is>
      </c>
      <c r="D113" s="5" t="n"/>
      <c r="E113" s="5" t="inlineStr">
        <is>
          <t>Opposes</t>
        </is>
      </c>
      <c r="F113" s="5" t="inlineStr">
        <is>
          <t>Texting and phone calls</t>
        </is>
      </c>
      <c r="G113" s="5" t="inlineStr">
        <is>
          <t>KITCHEN TABLE VALUES PAC</t>
        </is>
      </c>
      <c r="H113" s="5" t="inlineStr">
        <is>
          <t>TEXTS</t>
        </is>
      </c>
      <c r="I113" s="5" t="inlineStr">
        <is>
          <t>BETHLEHEM</t>
        </is>
      </c>
      <c r="J113" s="5" t="inlineStr">
        <is>
          <t>PA</t>
        </is>
      </c>
      <c r="K113" s="33" t="n">
        <v>1700</v>
      </c>
      <c r="L113" s="34" t="n"/>
      <c r="M113" s="5" t="inlineStr">
        <is>
          <t>2026-04-29</t>
        </is>
      </c>
    </row>
    <row r="114">
      <c r="A114" s="5" t="inlineStr">
        <is>
          <t>outside_itemized</t>
        </is>
      </c>
      <c r="B114" s="5" t="n">
        <v>2026</v>
      </c>
      <c r="C114" s="5" t="inlineStr">
        <is>
          <t>Bob Brooks</t>
        </is>
      </c>
      <c r="D114" s="5" t="n"/>
      <c r="E114" s="5" t="inlineStr">
        <is>
          <t>Opposes</t>
        </is>
      </c>
      <c r="F114" s="5" t="inlineStr">
        <is>
          <t>Texting and phone calls</t>
        </is>
      </c>
      <c r="G114" s="5" t="inlineStr">
        <is>
          <t>KITCHEN TABLE VALUES PAC</t>
        </is>
      </c>
      <c r="H114" s="5" t="inlineStr">
        <is>
          <t>TEXTS</t>
        </is>
      </c>
      <c r="I114" s="5" t="inlineStr">
        <is>
          <t>BETHLEHEM</t>
        </is>
      </c>
      <c r="J114" s="5" t="inlineStr">
        <is>
          <t>PA</t>
        </is>
      </c>
      <c r="K114" s="33" t="n">
        <v>1700</v>
      </c>
      <c r="L114" s="34" t="n"/>
      <c r="M114" s="5" t="inlineStr">
        <is>
          <t>2026-04-16</t>
        </is>
      </c>
    </row>
    <row r="115">
      <c r="A115" s="5" t="inlineStr">
        <is>
          <t>outside_itemized</t>
        </is>
      </c>
      <c r="B115" s="5" t="n">
        <v>2026</v>
      </c>
      <c r="C115" s="5" t="inlineStr">
        <is>
          <t>Bob Brooks</t>
        </is>
      </c>
      <c r="D115" s="5" t="n"/>
      <c r="E115" s="5" t="inlineStr">
        <is>
          <t>Supports</t>
        </is>
      </c>
      <c r="F115" s="5" t="inlineStr">
        <is>
          <t>Texting and phone calls</t>
        </is>
      </c>
      <c r="G115" s="5" t="inlineStr">
        <is>
          <t>DEMOCRATIC FUTURE PAC</t>
        </is>
      </c>
      <c r="H115" s="5" t="inlineStr">
        <is>
          <t>TEXT MESSAGES</t>
        </is>
      </c>
      <c r="I115" s="5" t="inlineStr">
        <is>
          <t>DOVER</t>
        </is>
      </c>
      <c r="J115" s="5" t="inlineStr">
        <is>
          <t>DE</t>
        </is>
      </c>
      <c r="K115" s="33" t="n">
        <v>1600</v>
      </c>
      <c r="L115" s="34" t="n"/>
      <c r="M115" s="5" t="inlineStr">
        <is>
          <t>2026-04-20</t>
        </is>
      </c>
    </row>
    <row r="116">
      <c r="A116" s="5" t="inlineStr">
        <is>
          <t>outside_itemized</t>
        </is>
      </c>
      <c r="B116" s="5" t="n">
        <v>2026</v>
      </c>
      <c r="C116" s="5" t="inlineStr">
        <is>
          <t>Ryan Mackenzie</t>
        </is>
      </c>
      <c r="D116" s="5" t="n"/>
      <c r="E116" s="5" t="inlineStr">
        <is>
          <t>Opposes</t>
        </is>
      </c>
      <c r="F116" s="5" t="inlineStr">
        <is>
          <t>Mail and print</t>
        </is>
      </c>
      <c r="G116" s="5" t="inlineStr">
        <is>
          <t>RURAL FREEDOM NETWORK</t>
        </is>
      </c>
      <c r="H116" s="5" t="inlineStr">
        <is>
          <t>PRINTING</t>
        </is>
      </c>
      <c r="I116" s="5" t="inlineStr">
        <is>
          <t>CLEVELAND</t>
        </is>
      </c>
      <c r="J116" s="5" t="inlineStr">
        <is>
          <t>OH</t>
        </is>
      </c>
      <c r="K116" s="33" t="n">
        <v>1517.06</v>
      </c>
      <c r="L116" s="34" t="n"/>
      <c r="M116" s="5" t="inlineStr">
        <is>
          <t>2026-03-06</t>
        </is>
      </c>
    </row>
    <row r="117">
      <c r="A117" s="5" t="inlineStr">
        <is>
          <t>outside_itemized</t>
        </is>
      </c>
      <c r="B117" s="5" t="n">
        <v>2026</v>
      </c>
      <c r="C117" s="5" t="inlineStr">
        <is>
          <t>Bob Brooks</t>
        </is>
      </c>
      <c r="D117" s="5" t="n"/>
      <c r="E117" s="5" t="inlineStr">
        <is>
          <t>Supports</t>
        </is>
      </c>
      <c r="F117" s="5" t="inlineStr">
        <is>
          <t>Mail and print</t>
        </is>
      </c>
      <c r="G117" s="5" t="inlineStr">
        <is>
          <t>MAKE THE ROAD ACTION POLITICAL COMMITTEE</t>
        </is>
      </c>
      <c r="H117" s="5" t="inlineStr">
        <is>
          <t>DOOR LITERATURE</t>
        </is>
      </c>
      <c r="I117" s="5" t="inlineStr">
        <is>
          <t>PHILADELPHIA</t>
        </is>
      </c>
      <c r="J117" s="5" t="inlineStr">
        <is>
          <t>PA</t>
        </is>
      </c>
      <c r="K117" s="33" t="n">
        <v>1421.27</v>
      </c>
      <c r="L117" s="34" t="n"/>
      <c r="M117" s="5" t="inlineStr">
        <is>
          <t>2026-04-10</t>
        </is>
      </c>
    </row>
    <row r="118">
      <c r="A118" s="5" t="inlineStr">
        <is>
          <t>outside_itemized</t>
        </is>
      </c>
      <c r="B118" s="5" t="n">
        <v>2026</v>
      </c>
      <c r="C118" s="5" t="inlineStr">
        <is>
          <t>Ryan Mackenzie</t>
        </is>
      </c>
      <c r="D118" s="5" t="n"/>
      <c r="E118" s="5" t="inlineStr">
        <is>
          <t>Opposes</t>
        </is>
      </c>
      <c r="F118" s="5" t="inlineStr">
        <is>
          <t>Data</t>
        </is>
      </c>
      <c r="G118" s="5" t="inlineStr">
        <is>
          <t>ACTIVATE AMERICA</t>
        </is>
      </c>
      <c r="H118" s="5" t="inlineStr">
        <is>
          <t>VOTER DATA</t>
        </is>
      </c>
      <c r="I118" s="5" t="inlineStr">
        <is>
          <t>WASHINGTON</t>
        </is>
      </c>
      <c r="J118" s="5" t="inlineStr">
        <is>
          <t>DC</t>
        </is>
      </c>
      <c r="K118" s="33" t="n">
        <v>1230.12</v>
      </c>
      <c r="L118" s="34" t="n"/>
      <c r="M118" s="5" t="inlineStr">
        <is>
          <t>2025-04-14</t>
        </is>
      </c>
    </row>
    <row r="119">
      <c r="A119" s="5" t="inlineStr">
        <is>
          <t>outside_itemized</t>
        </is>
      </c>
      <c r="B119" s="5" t="n">
        <v>2026</v>
      </c>
      <c r="C119" s="5" t="inlineStr">
        <is>
          <t>Bob Brooks</t>
        </is>
      </c>
      <c r="D119" s="5" t="n"/>
      <c r="E119" s="5" t="inlineStr">
        <is>
          <t>Supports</t>
        </is>
      </c>
      <c r="F119" s="5" t="inlineStr">
        <is>
          <t>Production</t>
        </is>
      </c>
      <c r="G119" s="5" t="inlineStr">
        <is>
          <t>FF PAC</t>
        </is>
      </c>
      <c r="H119" s="5" t="inlineStr">
        <is>
          <t>AD PRODUCTION</t>
        </is>
      </c>
      <c r="I119" s="5" t="inlineStr">
        <is>
          <t>BROOKLYN</t>
        </is>
      </c>
      <c r="J119" s="5" t="inlineStr">
        <is>
          <t>NY</t>
        </is>
      </c>
      <c r="K119" s="33" t="n">
        <v>1200</v>
      </c>
      <c r="L119" s="34" t="n"/>
      <c r="M119" s="5" t="inlineStr">
        <is>
          <t>2026-05-18</t>
        </is>
      </c>
    </row>
    <row r="120">
      <c r="A120" s="5" t="inlineStr">
        <is>
          <t>outside_itemized</t>
        </is>
      </c>
      <c r="B120" s="5" t="n">
        <v>2026</v>
      </c>
      <c r="C120" s="5" t="inlineStr">
        <is>
          <t>Bob Brooks</t>
        </is>
      </c>
      <c r="D120" s="5" t="n"/>
      <c r="E120" s="5" t="inlineStr">
        <is>
          <t>Supports</t>
        </is>
      </c>
      <c r="F120" s="5" t="inlineStr">
        <is>
          <t>Texting and phone calls</t>
        </is>
      </c>
      <c r="G120" s="5" t="inlineStr">
        <is>
          <t>MAJORITY BLUE PAC</t>
        </is>
      </c>
      <c r="H120" s="5" t="inlineStr">
        <is>
          <t>TEXT MESSAGES</t>
        </is>
      </c>
      <c r="I120" s="5" t="inlineStr">
        <is>
          <t>DOVER</t>
        </is>
      </c>
      <c r="J120" s="5" t="inlineStr">
        <is>
          <t>DE</t>
        </is>
      </c>
      <c r="K120" s="33" t="n">
        <v>1175</v>
      </c>
      <c r="L120" s="34" t="n"/>
      <c r="M120" s="5" t="inlineStr">
        <is>
          <t>2026-06-22</t>
        </is>
      </c>
    </row>
    <row r="121">
      <c r="A121" s="5" t="inlineStr">
        <is>
          <t>outside_itemized</t>
        </is>
      </c>
      <c r="B121" s="5" t="n">
        <v>2026</v>
      </c>
      <c r="C121" s="5" t="inlineStr">
        <is>
          <t>Bob Brooks</t>
        </is>
      </c>
      <c r="D121" s="5" t="n"/>
      <c r="E121" s="5" t="inlineStr">
        <is>
          <t>Supports</t>
        </is>
      </c>
      <c r="F121" s="5" t="inlineStr">
        <is>
          <t>Texting and phone calls</t>
        </is>
      </c>
      <c r="G121" s="5" t="inlineStr">
        <is>
          <t>BLUE SHIFT PAC</t>
        </is>
      </c>
      <c r="H121" s="5" t="inlineStr">
        <is>
          <t>TEXT MESSAGES</t>
        </is>
      </c>
      <c r="I121" s="5" t="inlineStr">
        <is>
          <t>DOVER</t>
        </is>
      </c>
      <c r="J121" s="5" t="inlineStr">
        <is>
          <t>DE</t>
        </is>
      </c>
      <c r="K121" s="33" t="n">
        <v>1083.33</v>
      </c>
      <c r="L121" s="34" t="n"/>
      <c r="M121" s="5" t="inlineStr">
        <is>
          <t>2026-04-20</t>
        </is>
      </c>
    </row>
    <row r="122">
      <c r="A122" s="5" t="inlineStr">
        <is>
          <t>outside_itemized</t>
        </is>
      </c>
      <c r="B122" s="5" t="n">
        <v>2026</v>
      </c>
      <c r="C122" s="5" t="inlineStr">
        <is>
          <t>Bob Brooks</t>
        </is>
      </c>
      <c r="D122" s="5" t="n"/>
      <c r="E122" s="5" t="inlineStr">
        <is>
          <t>Supports</t>
        </is>
      </c>
      <c r="F122" s="5" t="inlineStr">
        <is>
          <t>Texting and phone calls</t>
        </is>
      </c>
      <c r="G122" s="5" t="inlineStr">
        <is>
          <t>BLUE DEMOCRACY NETWORK</t>
        </is>
      </c>
      <c r="H122" s="5" t="inlineStr">
        <is>
          <t>TEXT MESSAGES</t>
        </is>
      </c>
      <c r="I122" s="5" t="inlineStr">
        <is>
          <t>DOVER</t>
        </is>
      </c>
      <c r="J122" s="5" t="inlineStr">
        <is>
          <t>DE</t>
        </is>
      </c>
      <c r="K122" s="33" t="n">
        <v>1012.5</v>
      </c>
      <c r="L122" s="34" t="n"/>
      <c r="M122" s="5" t="inlineStr">
        <is>
          <t>2026-04-20</t>
        </is>
      </c>
    </row>
    <row r="123">
      <c r="A123" s="5" t="inlineStr">
        <is>
          <t>outside_itemized</t>
        </is>
      </c>
      <c r="B123" s="5" t="n">
        <v>2026</v>
      </c>
      <c r="C123" s="5" t="inlineStr">
        <is>
          <t>Bob Brooks</t>
        </is>
      </c>
      <c r="D123" s="5" t="n"/>
      <c r="E123" s="5" t="inlineStr">
        <is>
          <t>Supports</t>
        </is>
      </c>
      <c r="F123" s="5" t="inlineStr">
        <is>
          <t>Texting and phone calls</t>
        </is>
      </c>
      <c r="G123" s="5" t="inlineStr">
        <is>
          <t>DEMOCRATIC FUTURE PAC</t>
        </is>
      </c>
      <c r="H123" s="5" t="inlineStr">
        <is>
          <t>TEXT MESSAGES</t>
        </is>
      </c>
      <c r="I123" s="5" t="inlineStr">
        <is>
          <t>DOVER</t>
        </is>
      </c>
      <c r="J123" s="5" t="inlineStr">
        <is>
          <t>DE</t>
        </is>
      </c>
      <c r="K123" s="33" t="n">
        <v>1000</v>
      </c>
      <c r="L123" s="34" t="n"/>
      <c r="M123" s="5" t="inlineStr">
        <is>
          <t>2026-04-20</t>
        </is>
      </c>
    </row>
    <row r="124">
      <c r="A124" s="5" t="inlineStr">
        <is>
          <t>outside_itemized</t>
        </is>
      </c>
      <c r="B124" s="5" t="n">
        <v>2026</v>
      </c>
      <c r="C124" s="5" t="inlineStr">
        <is>
          <t>Bob Brooks</t>
        </is>
      </c>
      <c r="D124" s="5" t="n"/>
      <c r="E124" s="5" t="inlineStr">
        <is>
          <t>Supports</t>
        </is>
      </c>
      <c r="F124" s="5" t="inlineStr">
        <is>
          <t>Texting and phone calls</t>
        </is>
      </c>
      <c r="G124" s="5" t="inlineStr">
        <is>
          <t>SEIU COPE (SERVICE EMPLOYEES INTERNATIONAL UNION COMMITTEE ON POLITICAL EDUCATION)</t>
        </is>
      </c>
      <c r="H124" s="5" t="inlineStr">
        <is>
          <t>PAYMENT FOR TEXTING AS DISCLOSED ON 6/20 MONTHLY REPORT</t>
        </is>
      </c>
      <c r="I124" s="5" t="inlineStr">
        <is>
          <t>SANTA ANA</t>
        </is>
      </c>
      <c r="J124" s="5" t="inlineStr">
        <is>
          <t>CA</t>
        </is>
      </c>
      <c r="K124" s="33" t="n">
        <v>907.6799999999999</v>
      </c>
      <c r="L124" s="34" t="n"/>
      <c r="M124" s="5" t="inlineStr">
        <is>
          <t>2026-08-13</t>
        </is>
      </c>
    </row>
    <row r="125">
      <c r="A125" s="5" t="inlineStr">
        <is>
          <t>outside_itemized</t>
        </is>
      </c>
      <c r="B125" s="5" t="n">
        <v>2026</v>
      </c>
      <c r="C125" s="5" t="inlineStr">
        <is>
          <t>Bob Brooks</t>
        </is>
      </c>
      <c r="D125" s="5" t="n"/>
      <c r="E125" s="5" t="inlineStr">
        <is>
          <t>Supports</t>
        </is>
      </c>
      <c r="F125" s="5" t="inlineStr">
        <is>
          <t>Texting and phone calls</t>
        </is>
      </c>
      <c r="G125" s="5" t="inlineStr">
        <is>
          <t>BLUE MAJORITY PROJECT</t>
        </is>
      </c>
      <c r="H125" s="5" t="inlineStr">
        <is>
          <t>TEXT MESSAGES</t>
        </is>
      </c>
      <c r="I125" s="5" t="inlineStr">
        <is>
          <t>DOVER</t>
        </is>
      </c>
      <c r="J125" s="5" t="inlineStr">
        <is>
          <t>DE</t>
        </is>
      </c>
      <c r="K125" s="33" t="n">
        <v>883.34</v>
      </c>
      <c r="L125" s="34" t="n"/>
      <c r="M125" s="5" t="inlineStr">
        <is>
          <t>2026-02-09</t>
        </is>
      </c>
    </row>
    <row r="126">
      <c r="A126" s="5" t="inlineStr">
        <is>
          <t>outside_itemized</t>
        </is>
      </c>
      <c r="B126" s="5" t="n">
        <v>2026</v>
      </c>
      <c r="C126" s="5" t="inlineStr">
        <is>
          <t>Ryan Mackenzie</t>
        </is>
      </c>
      <c r="D126" s="5" t="n"/>
      <c r="E126" s="5" t="inlineStr">
        <is>
          <t>Opposes</t>
        </is>
      </c>
      <c r="F126" s="5" t="inlineStr">
        <is>
          <t>Texting and phone calls</t>
        </is>
      </c>
      <c r="G126" s="5" t="inlineStr">
        <is>
          <t>FIELD TEAM 6, INC.</t>
        </is>
      </c>
      <c r="H126" s="5" t="inlineStr">
        <is>
          <t>SMS TEXTING</t>
        </is>
      </c>
      <c r="I126" s="5" t="inlineStr">
        <is>
          <t>LOS ANGELES</t>
        </is>
      </c>
      <c r="J126" s="5" t="inlineStr">
        <is>
          <t>CA</t>
        </is>
      </c>
      <c r="K126" s="33" t="n">
        <v>859.88</v>
      </c>
      <c r="L126" s="34" t="n"/>
      <c r="M126" s="5" t="inlineStr">
        <is>
          <t>2026-03-05</t>
        </is>
      </c>
    </row>
    <row r="127">
      <c r="A127" s="5" t="inlineStr">
        <is>
          <t>outside_itemized</t>
        </is>
      </c>
      <c r="B127" s="5" t="n">
        <v>2026</v>
      </c>
      <c r="C127" s="5" t="inlineStr">
        <is>
          <t>Bob Brooks</t>
        </is>
      </c>
      <c r="D127" s="5" t="n"/>
      <c r="E127" s="5" t="inlineStr">
        <is>
          <t>Supports</t>
        </is>
      </c>
      <c r="F127" s="5" t="inlineStr">
        <is>
          <t>Canvassing and field</t>
        </is>
      </c>
      <c r="G127" s="5" t="inlineStr">
        <is>
          <t>MAKE THE ROAD ACTION POLITICAL COMMITTEE</t>
        </is>
      </c>
      <c r="H127" s="5" t="inlineStr">
        <is>
          <t>CANVASSING SERVICES (CORRESPONDING MEMO ON 24/48 CAN NOT BE DELETED IN FECFILE)</t>
        </is>
      </c>
      <c r="I127" s="5" t="inlineStr">
        <is>
          <t>BROOKLYN</t>
        </is>
      </c>
      <c r="J127" s="5" t="inlineStr">
        <is>
          <t>NY</t>
        </is>
      </c>
      <c r="K127" s="33" t="n">
        <v>735</v>
      </c>
      <c r="L127" s="34" t="n"/>
      <c r="M127" s="5" t="inlineStr">
        <is>
          <t>2026-04-30</t>
        </is>
      </c>
    </row>
    <row r="128">
      <c r="A128" s="5" t="inlineStr">
        <is>
          <t>outside_itemized</t>
        </is>
      </c>
      <c r="B128" s="5" t="n">
        <v>2026</v>
      </c>
      <c r="C128" s="5" t="inlineStr">
        <is>
          <t>Bob Brooks</t>
        </is>
      </c>
      <c r="D128" s="5" t="n"/>
      <c r="E128" s="5" t="inlineStr">
        <is>
          <t>Supports</t>
        </is>
      </c>
      <c r="F128" s="5" t="inlineStr">
        <is>
          <t>Canvassing and field</t>
        </is>
      </c>
      <c r="G128" s="5" t="inlineStr">
        <is>
          <t>MAKE THE ROAD ACTION POLITICAL COMMITTEE</t>
        </is>
      </c>
      <c r="H128" s="5" t="inlineStr">
        <is>
          <t>CANVASSING SERVICES (CORRESPONDING MEMO ON 24/48 CAN NOT BE DELETED IN FECFILE)</t>
        </is>
      </c>
      <c r="I128" s="5" t="inlineStr">
        <is>
          <t>BROOKLYN</t>
        </is>
      </c>
      <c r="J128" s="5" t="inlineStr">
        <is>
          <t>NY</t>
        </is>
      </c>
      <c r="K128" s="33" t="n">
        <v>682</v>
      </c>
      <c r="L128" s="34" t="n"/>
      <c r="M128" s="5" t="inlineStr">
        <is>
          <t>2026-06-01</t>
        </is>
      </c>
    </row>
    <row r="129">
      <c r="A129" s="5" t="inlineStr">
        <is>
          <t>outside_itemized</t>
        </is>
      </c>
      <c r="B129" s="5" t="n">
        <v>2026</v>
      </c>
      <c r="C129" s="5" t="inlineStr">
        <is>
          <t>Bob Brooks</t>
        </is>
      </c>
      <c r="D129" s="5" t="n"/>
      <c r="E129" s="5" t="inlineStr">
        <is>
          <t>Supports</t>
        </is>
      </c>
      <c r="F129" s="5" t="inlineStr">
        <is>
          <t>Texting and phone calls</t>
        </is>
      </c>
      <c r="G129" s="5" t="inlineStr">
        <is>
          <t>BLUE MAJORITY MAKERS PAC</t>
        </is>
      </c>
      <c r="H129" s="5" t="inlineStr">
        <is>
          <t>TEXT MESSAGES</t>
        </is>
      </c>
      <c r="I129" s="5" t="inlineStr">
        <is>
          <t>DOVER</t>
        </is>
      </c>
      <c r="J129" s="5" t="inlineStr">
        <is>
          <t>DE</t>
        </is>
      </c>
      <c r="K129" s="33" t="n">
        <v>666.66</v>
      </c>
      <c r="L129" s="34" t="n"/>
      <c r="M129" s="5" t="inlineStr">
        <is>
          <t>2026-06-22</t>
        </is>
      </c>
    </row>
    <row r="130">
      <c r="A130" s="5" t="inlineStr">
        <is>
          <t>outside_itemized</t>
        </is>
      </c>
      <c r="B130" s="5" t="n">
        <v>2026</v>
      </c>
      <c r="C130" s="5" t="inlineStr">
        <is>
          <t>Bob Brooks</t>
        </is>
      </c>
      <c r="D130" s="5" t="n"/>
      <c r="E130" s="5" t="inlineStr">
        <is>
          <t>Supports</t>
        </is>
      </c>
      <c r="F130" s="5" t="inlineStr">
        <is>
          <t>Texting and phone calls</t>
        </is>
      </c>
      <c r="G130" s="5" t="inlineStr">
        <is>
          <t>FIELD TEAM 6, INC.</t>
        </is>
      </c>
      <c r="H130" s="5" t="inlineStr">
        <is>
          <t>SMS TEXTING</t>
        </is>
      </c>
      <c r="I130" s="5" t="inlineStr">
        <is>
          <t>LOS ANGELES</t>
        </is>
      </c>
      <c r="J130" s="5" t="inlineStr">
        <is>
          <t>CA</t>
        </is>
      </c>
      <c r="K130" s="33" t="n">
        <v>638.3</v>
      </c>
      <c r="L130" s="34" t="n"/>
      <c r="M130" s="5" t="inlineStr">
        <is>
          <t>2026-06-24</t>
        </is>
      </c>
    </row>
    <row r="131">
      <c r="A131" s="5" t="inlineStr">
        <is>
          <t>outside_itemized</t>
        </is>
      </c>
      <c r="B131" s="5" t="n">
        <v>2026</v>
      </c>
      <c r="C131" s="5" t="inlineStr">
        <is>
          <t>Bob Brooks</t>
        </is>
      </c>
      <c r="D131" s="5" t="n"/>
      <c r="E131" s="5" t="inlineStr">
        <is>
          <t>Supports</t>
        </is>
      </c>
      <c r="F131" s="5" t="inlineStr">
        <is>
          <t>Texting and phone calls</t>
        </is>
      </c>
      <c r="G131" s="5" t="inlineStr">
        <is>
          <t>PEOPLE'S ACTION POWER</t>
        </is>
      </c>
      <c r="H131" s="5" t="inlineStr">
        <is>
          <t>NON-CONTRIBUTION ACCOUNT: TEXT MESSAGING</t>
        </is>
      </c>
      <c r="I131" s="5" t="inlineStr">
        <is>
          <t>SANTA ANA</t>
        </is>
      </c>
      <c r="J131" s="5" t="inlineStr">
        <is>
          <t>CA</t>
        </is>
      </c>
      <c r="K131" s="33" t="n">
        <v>530.05</v>
      </c>
      <c r="L131" s="34" t="n"/>
      <c r="M131" s="5" t="inlineStr">
        <is>
          <t>2026-08-07</t>
        </is>
      </c>
    </row>
    <row r="132">
      <c r="A132" s="5" t="inlineStr">
        <is>
          <t>outside_itemized</t>
        </is>
      </c>
      <c r="B132" s="5" t="n">
        <v>2026</v>
      </c>
      <c r="C132" s="5" t="inlineStr">
        <is>
          <t>Ryan Mackenzie</t>
        </is>
      </c>
      <c r="D132" s="5" t="n"/>
      <c r="E132" s="5" t="inlineStr">
        <is>
          <t>Opposes</t>
        </is>
      </c>
      <c r="F132" s="5" t="inlineStr">
        <is>
          <t>Digital advertising</t>
        </is>
      </c>
      <c r="G132" s="5" t="inlineStr">
        <is>
          <t>INDIGO PAC</t>
        </is>
      </c>
      <c r="H132" s="5" t="inlineStr">
        <is>
          <t>DIGITAL ADVERTISING</t>
        </is>
      </c>
      <c r="I132" s="5" t="inlineStr">
        <is>
          <t>MENLO PARK</t>
        </is>
      </c>
      <c r="J132" s="5" t="inlineStr">
        <is>
          <t>CA</t>
        </is>
      </c>
      <c r="K132" s="33" t="n">
        <v>346</v>
      </c>
      <c r="L132" s="34" t="n"/>
      <c r="M132" s="5" t="inlineStr">
        <is>
          <t>2025-10-20</t>
        </is>
      </c>
    </row>
    <row r="133">
      <c r="A133" s="5" t="inlineStr">
        <is>
          <t>outside_itemized</t>
        </is>
      </c>
      <c r="B133" s="5" t="n">
        <v>2026</v>
      </c>
      <c r="C133" s="5" t="inlineStr">
        <is>
          <t>Ryan Mackenzie</t>
        </is>
      </c>
      <c r="D133" s="5" t="n"/>
      <c r="E133" s="5" t="inlineStr">
        <is>
          <t>Opposes</t>
        </is>
      </c>
      <c r="F133" s="5" t="inlineStr">
        <is>
          <t>Digital advertising</t>
        </is>
      </c>
      <c r="G133" s="5" t="inlineStr">
        <is>
          <t>INDIGO PAC</t>
        </is>
      </c>
      <c r="H133" s="5" t="inlineStr">
        <is>
          <t>DIGITAL ADVERTISING</t>
        </is>
      </c>
      <c r="I133" s="5" t="inlineStr">
        <is>
          <t>MENLO PARK</t>
        </is>
      </c>
      <c r="J133" s="5" t="inlineStr">
        <is>
          <t>CA</t>
        </is>
      </c>
      <c r="K133" s="33" t="n">
        <v>304.22</v>
      </c>
      <c r="L133" s="34" t="n"/>
      <c r="M133" s="5" t="inlineStr">
        <is>
          <t>2025-11-03</t>
        </is>
      </c>
    </row>
    <row r="134">
      <c r="A134" s="5" t="inlineStr">
        <is>
          <t>outside_itemized</t>
        </is>
      </c>
      <c r="B134" s="5" t="n">
        <v>2026</v>
      </c>
      <c r="C134" s="5" t="inlineStr">
        <is>
          <t>Ryan Mackenzie</t>
        </is>
      </c>
      <c r="D134" s="5" t="n"/>
      <c r="E134" s="5" t="inlineStr">
        <is>
          <t>Opposes</t>
        </is>
      </c>
      <c r="F134" s="5" t="inlineStr">
        <is>
          <t>Digital advertising</t>
        </is>
      </c>
      <c r="G134" s="5" t="inlineStr">
        <is>
          <t>INDIGO PAC</t>
        </is>
      </c>
      <c r="H134" s="5" t="inlineStr">
        <is>
          <t>DIGITAL ADVERTISING</t>
        </is>
      </c>
      <c r="I134" s="5" t="inlineStr">
        <is>
          <t>MENLO PARK</t>
        </is>
      </c>
      <c r="J134" s="5" t="inlineStr">
        <is>
          <t>CA</t>
        </is>
      </c>
      <c r="K134" s="33" t="n">
        <v>284</v>
      </c>
      <c r="L134" s="34" t="n"/>
      <c r="M134" s="5" t="inlineStr">
        <is>
          <t>2025-10-14</t>
        </is>
      </c>
    </row>
    <row r="135">
      <c r="A135" s="5" t="inlineStr">
        <is>
          <t>outside_itemized</t>
        </is>
      </c>
      <c r="B135" s="5" t="n">
        <v>2026</v>
      </c>
      <c r="C135" s="5" t="inlineStr">
        <is>
          <t>Ryan Mackenzie</t>
        </is>
      </c>
      <c r="D135" s="5" t="n"/>
      <c r="E135" s="5" t="inlineStr">
        <is>
          <t>Opposes</t>
        </is>
      </c>
      <c r="F135" s="5" t="inlineStr">
        <is>
          <t>Texting and phone calls</t>
        </is>
      </c>
      <c r="G135" s="5" t="inlineStr">
        <is>
          <t>ACTIVATE AMERICA</t>
        </is>
      </c>
      <c r="H135" s="5" t="inlineStr">
        <is>
          <t>TEXT BANK</t>
        </is>
      </c>
      <c r="I135" s="5" t="inlineStr">
        <is>
          <t>SANTA ANA</t>
        </is>
      </c>
      <c r="J135" s="5" t="inlineStr">
        <is>
          <t>CA</t>
        </is>
      </c>
      <c r="K135" s="33" t="n">
        <v>250.82</v>
      </c>
      <c r="L135" s="34" t="n"/>
      <c r="M135" s="5" t="inlineStr">
        <is>
          <t>2025-05-16</t>
        </is>
      </c>
    </row>
    <row r="136">
      <c r="A136" s="5" t="inlineStr">
        <is>
          <t>outside_itemized</t>
        </is>
      </c>
      <c r="B136" s="5" t="n">
        <v>2026</v>
      </c>
      <c r="C136" s="5" t="inlineStr">
        <is>
          <t>Ryan Mackenzie</t>
        </is>
      </c>
      <c r="D136" s="5" t="n"/>
      <c r="E136" s="5" t="inlineStr">
        <is>
          <t>Opposes</t>
        </is>
      </c>
      <c r="F136" s="5" t="inlineStr">
        <is>
          <t>Digital advertising</t>
        </is>
      </c>
      <c r="G136" s="5" t="inlineStr">
        <is>
          <t>INDIGO PAC</t>
        </is>
      </c>
      <c r="H136" s="5" t="inlineStr">
        <is>
          <t>DIGITAL ADVERTISING</t>
        </is>
      </c>
      <c r="I136" s="5" t="inlineStr">
        <is>
          <t>MENLO PARK</t>
        </is>
      </c>
      <c r="J136" s="5" t="inlineStr">
        <is>
          <t>CA</t>
        </is>
      </c>
      <c r="K136" s="33" t="n">
        <v>243</v>
      </c>
      <c r="L136" s="34" t="n"/>
      <c r="M136" s="5" t="inlineStr">
        <is>
          <t>2025-10-07</t>
        </is>
      </c>
    </row>
    <row r="137">
      <c r="A137" s="5" t="inlineStr">
        <is>
          <t>outside_itemized</t>
        </is>
      </c>
      <c r="B137" s="5" t="n">
        <v>2026</v>
      </c>
      <c r="C137" s="5" t="inlineStr">
        <is>
          <t>Ryan Mackenzie</t>
        </is>
      </c>
      <c r="D137" s="5" t="n"/>
      <c r="E137" s="5" t="inlineStr">
        <is>
          <t>Opposes</t>
        </is>
      </c>
      <c r="F137" s="5" t="inlineStr">
        <is>
          <t>Texting and phone calls</t>
        </is>
      </c>
      <c r="G137" s="5" t="inlineStr">
        <is>
          <t>FIELD TEAM 6, INC.</t>
        </is>
      </c>
      <c r="H137" s="5" t="inlineStr">
        <is>
          <t>SMS TEXTING</t>
        </is>
      </c>
      <c r="I137" s="5" t="inlineStr">
        <is>
          <t>LOS ANGELES</t>
        </is>
      </c>
      <c r="J137" s="5" t="inlineStr">
        <is>
          <t>CA</t>
        </is>
      </c>
      <c r="K137" s="33" t="n">
        <v>236.81</v>
      </c>
      <c r="L137" s="34" t="n"/>
      <c r="M137" s="5" t="inlineStr">
        <is>
          <t>2026-02-04</t>
        </is>
      </c>
    </row>
    <row r="138">
      <c r="A138" s="5" t="inlineStr">
        <is>
          <t>outside_itemized</t>
        </is>
      </c>
      <c r="B138" s="5" t="n">
        <v>2026</v>
      </c>
      <c r="C138" s="5" t="inlineStr">
        <is>
          <t>Bob Brooks</t>
        </is>
      </c>
      <c r="D138" s="5" t="n"/>
      <c r="E138" s="5" t="inlineStr">
        <is>
          <t>Supports</t>
        </is>
      </c>
      <c r="F138" s="5" t="inlineStr">
        <is>
          <t>Texting and phone calls</t>
        </is>
      </c>
      <c r="G138" s="5" t="inlineStr">
        <is>
          <t>SEIU COPE (SERVICE EMPLOYEES INTERNATIONAL UNION COMMITTEE ON POLITICAL EDUCATION)</t>
        </is>
      </c>
      <c r="H138" s="5" t="inlineStr">
        <is>
          <t>PAYMENT FOR TEXTING AS DISCLOSED ON 6/20 MONTHLY REPORT</t>
        </is>
      </c>
      <c r="I138" s="5" t="inlineStr">
        <is>
          <t>SANTA ANA</t>
        </is>
      </c>
      <c r="J138" s="5" t="inlineStr">
        <is>
          <t>CA</t>
        </is>
      </c>
      <c r="K138" s="33" t="n">
        <v>231.9</v>
      </c>
      <c r="L138" s="34" t="n"/>
      <c r="M138" s="5" t="inlineStr">
        <is>
          <t>2026-08-13</t>
        </is>
      </c>
    </row>
    <row r="139">
      <c r="A139" s="5" t="inlineStr">
        <is>
          <t>outside_itemized</t>
        </is>
      </c>
      <c r="B139" s="5" t="n">
        <v>2026</v>
      </c>
      <c r="C139" s="5" t="inlineStr">
        <is>
          <t>Ryan Mackenzie</t>
        </is>
      </c>
      <c r="D139" s="5" t="n"/>
      <c r="E139" s="5" t="inlineStr">
        <is>
          <t>Opposes</t>
        </is>
      </c>
      <c r="F139" s="5" t="inlineStr">
        <is>
          <t>Digital advertising</t>
        </is>
      </c>
      <c r="G139" s="5" t="inlineStr">
        <is>
          <t>INDIGO PAC</t>
        </is>
      </c>
      <c r="H139" s="5" t="inlineStr">
        <is>
          <t>DIGITAL ADVERTISING</t>
        </is>
      </c>
      <c r="I139" s="5" t="inlineStr">
        <is>
          <t>MENLO PARK</t>
        </is>
      </c>
      <c r="J139" s="5" t="inlineStr">
        <is>
          <t>CA</t>
        </is>
      </c>
      <c r="K139" s="33" t="n">
        <v>194.64</v>
      </c>
      <c r="L139" s="34" t="n"/>
      <c r="M139" s="5" t="inlineStr">
        <is>
          <t>2025-10-27</t>
        </is>
      </c>
    </row>
    <row r="140">
      <c r="A140" s="5" t="inlineStr">
        <is>
          <t>outside_itemized</t>
        </is>
      </c>
      <c r="B140" s="5" t="n">
        <v>2026</v>
      </c>
      <c r="C140" s="5" t="inlineStr">
        <is>
          <t>Bob Brooks</t>
        </is>
      </c>
      <c r="D140" s="5" t="n"/>
      <c r="E140" s="5" t="inlineStr">
        <is>
          <t>Supports</t>
        </is>
      </c>
      <c r="F140" s="5" t="inlineStr">
        <is>
          <t>Texting and phone calls</t>
        </is>
      </c>
      <c r="G140" s="5" t="inlineStr">
        <is>
          <t>SURJ PAC</t>
        </is>
      </c>
      <c r="H140" s="5" t="inlineStr">
        <is>
          <t>STAFF TIME: PHONE BANKING - NON-CONTRIBUTION ACCOUNT</t>
        </is>
      </c>
      <c r="I140" s="5" t="inlineStr">
        <is>
          <t>ATLANTA</t>
        </is>
      </c>
      <c r="J140" s="5" t="inlineStr">
        <is>
          <t>GA</t>
        </is>
      </c>
      <c r="K140" s="33" t="n">
        <v>187.51</v>
      </c>
      <c r="L140" s="34" t="n"/>
      <c r="M140" s="5" t="inlineStr">
        <is>
          <t>2026-05-29</t>
        </is>
      </c>
    </row>
    <row r="141">
      <c r="A141" s="5" t="inlineStr">
        <is>
          <t>outside_itemized</t>
        </is>
      </c>
      <c r="B141" s="5" t="n">
        <v>2026</v>
      </c>
      <c r="C141" s="5" t="inlineStr">
        <is>
          <t>Bob Brooks</t>
        </is>
      </c>
      <c r="D141" s="5" t="n"/>
      <c r="E141" s="5" t="inlineStr">
        <is>
          <t>Supports</t>
        </is>
      </c>
      <c r="F141" s="5" t="inlineStr">
        <is>
          <t>Mail and print</t>
        </is>
      </c>
      <c r="G141" s="5" t="inlineStr">
        <is>
          <t>RURAL FREEDOM NETWORK</t>
        </is>
      </c>
      <c r="H141" s="5" t="inlineStr">
        <is>
          <t>PRINTING</t>
        </is>
      </c>
      <c r="I141" s="5" t="inlineStr">
        <is>
          <t>CLEVELAND</t>
        </is>
      </c>
      <c r="J141" s="5" t="inlineStr">
        <is>
          <t>OH</t>
        </is>
      </c>
      <c r="K141" s="33" t="n">
        <v>157.07</v>
      </c>
      <c r="L141" s="34" t="n"/>
      <c r="M141" s="5" t="inlineStr">
        <is>
          <t>2026-06-18</t>
        </is>
      </c>
    </row>
    <row r="142">
      <c r="A142" s="5" t="inlineStr">
        <is>
          <t>outside_itemized</t>
        </is>
      </c>
      <c r="B142" s="5" t="n">
        <v>2026</v>
      </c>
      <c r="C142" s="5" t="inlineStr">
        <is>
          <t>Ryan Mackenzie</t>
        </is>
      </c>
      <c r="D142" s="5" t="n"/>
      <c r="E142" s="5" t="inlineStr">
        <is>
          <t>Opposes</t>
        </is>
      </c>
      <c r="F142" s="5" t="inlineStr">
        <is>
          <t>Digital advertising</t>
        </is>
      </c>
      <c r="G142" s="5" t="inlineStr">
        <is>
          <t>INDIGO PAC</t>
        </is>
      </c>
      <c r="H142" s="5" t="inlineStr">
        <is>
          <t>DIGITAL ADVERTISING</t>
        </is>
      </c>
      <c r="I142" s="5" t="inlineStr">
        <is>
          <t>MENLO PARK</t>
        </is>
      </c>
      <c r="J142" s="5" t="inlineStr">
        <is>
          <t>CA</t>
        </is>
      </c>
      <c r="K142" s="33" t="n">
        <v>156</v>
      </c>
      <c r="L142" s="34" t="n"/>
      <c r="M142" s="5" t="inlineStr">
        <is>
          <t>2025-09-29</t>
        </is>
      </c>
    </row>
    <row r="143">
      <c r="A143" s="5" t="inlineStr">
        <is>
          <t>outside_itemized</t>
        </is>
      </c>
      <c r="B143" s="5" t="n">
        <v>2026</v>
      </c>
      <c r="C143" s="5" t="inlineStr">
        <is>
          <t>Ryan Mackenzie</t>
        </is>
      </c>
      <c r="D143" s="5" t="n"/>
      <c r="E143" s="5" t="inlineStr">
        <is>
          <t>Opposes</t>
        </is>
      </c>
      <c r="F143" s="5" t="inlineStr">
        <is>
          <t>Digital advertising</t>
        </is>
      </c>
      <c r="G143" s="5" t="inlineStr">
        <is>
          <t>INDIGO PAC</t>
        </is>
      </c>
      <c r="H143" s="5" t="inlineStr">
        <is>
          <t>DIGITAL ADVERTISING</t>
        </is>
      </c>
      <c r="I143" s="5" t="inlineStr">
        <is>
          <t>MENLO PARK</t>
        </is>
      </c>
      <c r="J143" s="5" t="inlineStr">
        <is>
          <t>CA</t>
        </is>
      </c>
      <c r="K143" s="33" t="n">
        <v>137.49</v>
      </c>
      <c r="L143" s="34" t="n"/>
      <c r="M143" s="5" t="inlineStr">
        <is>
          <t>2025-09-29</t>
        </is>
      </c>
    </row>
    <row r="144">
      <c r="A144" s="5" t="inlineStr">
        <is>
          <t>outside_itemized</t>
        </is>
      </c>
      <c r="B144" s="5" t="n">
        <v>2026</v>
      </c>
      <c r="C144" s="5" t="inlineStr">
        <is>
          <t>Ryan Mackenzie</t>
        </is>
      </c>
      <c r="D144" s="5" t="n"/>
      <c r="E144" s="5" t="inlineStr">
        <is>
          <t>Opposes</t>
        </is>
      </c>
      <c r="F144" s="5" t="inlineStr">
        <is>
          <t>Texting and phone calls</t>
        </is>
      </c>
      <c r="G144" s="5" t="inlineStr">
        <is>
          <t>ACTIVATE AMERICA</t>
        </is>
      </c>
      <c r="H144" s="5" t="inlineStr">
        <is>
          <t>TEXT BANK</t>
        </is>
      </c>
      <c r="I144" s="5" t="inlineStr">
        <is>
          <t>SANTA ANA</t>
        </is>
      </c>
      <c r="J144" s="5" t="inlineStr">
        <is>
          <t>CA</t>
        </is>
      </c>
      <c r="K144" s="33" t="n">
        <v>124.9</v>
      </c>
      <c r="L144" s="34" t="n"/>
      <c r="M144" s="5" t="inlineStr">
        <is>
          <t>2025-06-12</t>
        </is>
      </c>
    </row>
    <row r="145">
      <c r="A145" s="5" t="inlineStr">
        <is>
          <t>outside_itemized</t>
        </is>
      </c>
      <c r="B145" s="5" t="n">
        <v>2026</v>
      </c>
      <c r="C145" s="5" t="inlineStr">
        <is>
          <t>Bob Brooks</t>
        </is>
      </c>
      <c r="D145" s="5" t="n"/>
      <c r="E145" s="5" t="inlineStr">
        <is>
          <t>Supports</t>
        </is>
      </c>
      <c r="F145" s="5" t="inlineStr">
        <is>
          <t>Texting and phone calls</t>
        </is>
      </c>
      <c r="G145" s="5" t="inlineStr">
        <is>
          <t>BLUE MAJORITY MAKERS PAC</t>
        </is>
      </c>
      <c r="H145" s="5" t="inlineStr">
        <is>
          <t>TEXT MESSAGES</t>
        </is>
      </c>
      <c r="I145" s="5" t="inlineStr">
        <is>
          <t>DOVER</t>
        </is>
      </c>
      <c r="J145" s="5" t="inlineStr">
        <is>
          <t>DE</t>
        </is>
      </c>
      <c r="K145" s="33" t="n">
        <v>100</v>
      </c>
      <c r="L145" s="34" t="n"/>
      <c r="M145" s="5" t="inlineStr">
        <is>
          <t>2026-06-22</t>
        </is>
      </c>
    </row>
    <row r="146">
      <c r="A146" s="5" t="inlineStr">
        <is>
          <t>outside_itemized</t>
        </is>
      </c>
      <c r="B146" s="5" t="n">
        <v>2026</v>
      </c>
      <c r="C146" s="5" t="inlineStr">
        <is>
          <t>Ryan Mackenzie</t>
        </is>
      </c>
      <c r="D146" s="5" t="n"/>
      <c r="E146" s="5" t="inlineStr">
        <is>
          <t>Opposes</t>
        </is>
      </c>
      <c r="F146" s="5" t="inlineStr">
        <is>
          <t>Texting and phone calls</t>
        </is>
      </c>
      <c r="G146" s="5" t="inlineStr">
        <is>
          <t>ACTIVATE AMERICA</t>
        </is>
      </c>
      <c r="H146" s="5" t="inlineStr">
        <is>
          <t>PHONE BANK</t>
        </is>
      </c>
      <c r="I146" s="5" t="inlineStr">
        <is>
          <t>SANTA ANA</t>
        </is>
      </c>
      <c r="J146" s="5" t="inlineStr">
        <is>
          <t>CA</t>
        </is>
      </c>
      <c r="K146" s="33" t="n">
        <v>96.45</v>
      </c>
      <c r="L146" s="34" t="n"/>
      <c r="M146" s="5" t="inlineStr">
        <is>
          <t>2025-04-24</t>
        </is>
      </c>
    </row>
    <row r="147">
      <c r="A147" s="5" t="inlineStr">
        <is>
          <t>outside_itemized</t>
        </is>
      </c>
      <c r="B147" s="5" t="n">
        <v>2026</v>
      </c>
      <c r="C147" s="5" t="inlineStr">
        <is>
          <t>Ryan Mackenzie</t>
        </is>
      </c>
      <c r="D147" s="5" t="n"/>
      <c r="E147" s="5" t="inlineStr">
        <is>
          <t>Opposes</t>
        </is>
      </c>
      <c r="F147" s="5" t="inlineStr">
        <is>
          <t>Canvassing and field</t>
        </is>
      </c>
      <c r="G147" s="5" t="inlineStr">
        <is>
          <t>PLANNED PARENTHOOD VOTES</t>
        </is>
      </c>
      <c r="H147" s="5" t="inlineStr">
        <is>
          <t>STAFF TIME FOR VOTER COMMUNICATIONS</t>
        </is>
      </c>
      <c r="I147" s="5" t="inlineStr">
        <is>
          <t>NEW YORK</t>
        </is>
      </c>
      <c r="J147" s="5" t="inlineStr">
        <is>
          <t>NY</t>
        </is>
      </c>
      <c r="K147" s="33" t="n">
        <v>85.38</v>
      </c>
      <c r="L147" s="34" t="n"/>
      <c r="M147" s="5" t="inlineStr">
        <is>
          <t>2026-06-28</t>
        </is>
      </c>
    </row>
    <row r="148">
      <c r="A148" s="5" t="inlineStr">
        <is>
          <t>outside_itemized</t>
        </is>
      </c>
      <c r="B148" s="5" t="n">
        <v>2026</v>
      </c>
      <c r="C148" s="5" t="inlineStr">
        <is>
          <t>Ryan Mackenzie</t>
        </is>
      </c>
      <c r="D148" s="5" t="n"/>
      <c r="E148" s="5" t="inlineStr">
        <is>
          <t>Opposes</t>
        </is>
      </c>
      <c r="F148" s="5" t="inlineStr">
        <is>
          <t>Digital advertising</t>
        </is>
      </c>
      <c r="G148" s="5" t="inlineStr">
        <is>
          <t>INDIGO PAC</t>
        </is>
      </c>
      <c r="H148" s="5" t="inlineStr">
        <is>
          <t>DIGITAL ADVERTISING</t>
        </is>
      </c>
      <c r="I148" s="5" t="inlineStr">
        <is>
          <t>MENLO PARK</t>
        </is>
      </c>
      <c r="J148" s="5" t="inlineStr">
        <is>
          <t>CA</t>
        </is>
      </c>
      <c r="K148" s="33" t="n">
        <v>76.42</v>
      </c>
      <c r="L148" s="34" t="n"/>
      <c r="M148" s="5" t="inlineStr">
        <is>
          <t>2025-09-29</t>
        </is>
      </c>
    </row>
    <row r="149">
      <c r="A149" s="5" t="inlineStr">
        <is>
          <t>outside_itemized</t>
        </is>
      </c>
      <c r="B149" s="5" t="n">
        <v>2026</v>
      </c>
      <c r="C149" s="5" t="inlineStr">
        <is>
          <t>Ryan Mackenzie</t>
        </is>
      </c>
      <c r="D149" s="5" t="n"/>
      <c r="E149" s="5" t="inlineStr">
        <is>
          <t>Opposes</t>
        </is>
      </c>
      <c r="F149" s="5" t="inlineStr">
        <is>
          <t>Canvassing and field</t>
        </is>
      </c>
      <c r="G149" s="5" t="inlineStr">
        <is>
          <t>PLANNED PARENTHOOD VOTES</t>
        </is>
      </c>
      <c r="H149" s="5" t="inlineStr">
        <is>
          <t>ESTIMATED COST OF STAFF TIME FOR VOTER COMMUNICATIONS</t>
        </is>
      </c>
      <c r="I149" s="5" t="inlineStr">
        <is>
          <t>NEW YORK</t>
        </is>
      </c>
      <c r="J149" s="5" t="inlineStr">
        <is>
          <t>NY</t>
        </is>
      </c>
      <c r="K149" s="33" t="n">
        <v>71.43000000000001</v>
      </c>
      <c r="L149" s="34" t="n"/>
      <c r="M149" s="5" t="inlineStr">
        <is>
          <t>2026-05-19</t>
        </is>
      </c>
    </row>
    <row r="150">
      <c r="A150" s="5" t="inlineStr">
        <is>
          <t>outside_itemized</t>
        </is>
      </c>
      <c r="B150" s="5" t="n">
        <v>2026</v>
      </c>
      <c r="C150" s="5" t="inlineStr">
        <is>
          <t>Bob Brooks</t>
        </is>
      </c>
      <c r="D150" s="5" t="n"/>
      <c r="E150" s="5" t="inlineStr">
        <is>
          <t>Supports</t>
        </is>
      </c>
      <c r="F150" s="5" t="inlineStr">
        <is>
          <t>Texting and phone calls</t>
        </is>
      </c>
      <c r="G150" s="5" t="inlineStr">
        <is>
          <t>BLUE DEMOCRACY NETWORK</t>
        </is>
      </c>
      <c r="H150" s="5" t="inlineStr">
        <is>
          <t>TEXT MESSAGES</t>
        </is>
      </c>
      <c r="I150" s="5" t="inlineStr">
        <is>
          <t>DOVER</t>
        </is>
      </c>
      <c r="J150" s="5" t="inlineStr">
        <is>
          <t>DE</t>
        </is>
      </c>
      <c r="K150" s="33" t="n">
        <v>62.5</v>
      </c>
      <c r="L150" s="34" t="n"/>
      <c r="M150" s="5" t="inlineStr">
        <is>
          <t>2026-04-20</t>
        </is>
      </c>
    </row>
    <row r="151">
      <c r="A151" s="5" t="inlineStr">
        <is>
          <t>outside_itemized</t>
        </is>
      </c>
      <c r="B151" s="5" t="n">
        <v>2026</v>
      </c>
      <c r="C151" s="5" t="inlineStr">
        <is>
          <t>Ryan Mackenzie</t>
        </is>
      </c>
      <c r="D151" s="5" t="n"/>
      <c r="E151" s="5" t="inlineStr">
        <is>
          <t>Opposes</t>
        </is>
      </c>
      <c r="F151" s="5" t="inlineStr">
        <is>
          <t>Digital advertising</t>
        </is>
      </c>
      <c r="G151" s="5" t="inlineStr">
        <is>
          <t>INDIGO PAC</t>
        </is>
      </c>
      <c r="H151" s="5" t="inlineStr">
        <is>
          <t>DIGITAL ADVERTISING</t>
        </is>
      </c>
      <c r="I151" s="5" t="inlineStr">
        <is>
          <t>MENLO PARK</t>
        </is>
      </c>
      <c r="J151" s="5" t="inlineStr">
        <is>
          <t>CA</t>
        </is>
      </c>
      <c r="K151" s="33" t="n">
        <v>55</v>
      </c>
      <c r="L151" s="34" t="n"/>
      <c r="M151" s="5" t="inlineStr">
        <is>
          <t>2025-09-15</t>
        </is>
      </c>
    </row>
    <row r="152">
      <c r="A152" s="5" t="inlineStr">
        <is>
          <t>outside_itemized</t>
        </is>
      </c>
      <c r="B152" s="5" t="n">
        <v>2026</v>
      </c>
      <c r="C152" s="5" t="inlineStr">
        <is>
          <t>Bob Brooks</t>
        </is>
      </c>
      <c r="D152" s="5" t="n"/>
      <c r="E152" s="5" t="inlineStr">
        <is>
          <t>Supports</t>
        </is>
      </c>
      <c r="F152" s="5" t="inlineStr">
        <is>
          <t>Email</t>
        </is>
      </c>
      <c r="G152" s="5" t="inlineStr">
        <is>
          <t>THE PEOPLE UNITED PAC</t>
        </is>
      </c>
      <c r="H152" s="5" t="inlineStr">
        <is>
          <t>FUNDRAISING EMAIL</t>
        </is>
      </c>
      <c r="I152" s="5" t="inlineStr">
        <is>
          <t>WASHINGTON</t>
        </is>
      </c>
      <c r="J152" s="5" t="inlineStr">
        <is>
          <t>DC</t>
        </is>
      </c>
      <c r="K152" s="33" t="n">
        <v>50</v>
      </c>
      <c r="L152" s="34" t="n"/>
      <c r="M152" s="5" t="inlineStr">
        <is>
          <t>2026-05-21</t>
        </is>
      </c>
    </row>
    <row r="153">
      <c r="A153" s="5" t="inlineStr">
        <is>
          <t>outside_itemized</t>
        </is>
      </c>
      <c r="B153" s="5" t="n">
        <v>2026</v>
      </c>
      <c r="C153" s="5" t="inlineStr">
        <is>
          <t>Ryan Mackenzie</t>
        </is>
      </c>
      <c r="D153" s="5" t="n"/>
      <c r="E153" s="5" t="inlineStr">
        <is>
          <t>Opposes</t>
        </is>
      </c>
      <c r="F153" s="5" t="inlineStr">
        <is>
          <t>Digital advertising</t>
        </is>
      </c>
      <c r="G153" s="5" t="inlineStr">
        <is>
          <t>INDIGO PAC</t>
        </is>
      </c>
      <c r="H153" s="5" t="inlineStr">
        <is>
          <t>DIGITAL ADVERTISING</t>
        </is>
      </c>
      <c r="I153" s="5" t="inlineStr">
        <is>
          <t>MENLO PARK</t>
        </is>
      </c>
      <c r="J153" s="5" t="inlineStr">
        <is>
          <t>CA</t>
        </is>
      </c>
      <c r="K153" s="33" t="n">
        <v>39</v>
      </c>
      <c r="L153" s="34" t="n"/>
      <c r="M153" s="5" t="inlineStr">
        <is>
          <t>2025-09-11</t>
        </is>
      </c>
    </row>
    <row r="154">
      <c r="A154" s="5" t="inlineStr">
        <is>
          <t>outside_itemized</t>
        </is>
      </c>
      <c r="B154" s="5" t="n">
        <v>2026</v>
      </c>
      <c r="C154" s="5" t="inlineStr">
        <is>
          <t>Bob Brooks</t>
        </is>
      </c>
      <c r="D154" s="5" t="n"/>
      <c r="E154" s="5" t="inlineStr">
        <is>
          <t>Supports</t>
        </is>
      </c>
      <c r="F154" s="5" t="inlineStr">
        <is>
          <t>Canvassing and field</t>
        </is>
      </c>
      <c r="G154" s="5" t="inlineStr">
        <is>
          <t>MAKE THE ROAD ACTION POLITICAL COMMITTEE</t>
        </is>
      </c>
      <c r="H154" s="5" t="inlineStr">
        <is>
          <t>FOOD FOR CANVASSERS</t>
        </is>
      </c>
      <c r="I154" s="5" t="inlineStr">
        <is>
          <t>PHILADELPHIA</t>
        </is>
      </c>
      <c r="J154" s="5" t="inlineStr">
        <is>
          <t>PA</t>
        </is>
      </c>
      <c r="K154" s="33" t="n">
        <v>35.68</v>
      </c>
      <c r="L154" s="34" t="n"/>
      <c r="M154" s="5" t="inlineStr">
        <is>
          <t>2026-04-02</t>
        </is>
      </c>
    </row>
    <row r="155">
      <c r="A155" s="5" t="inlineStr">
        <is>
          <t>outside_itemized</t>
        </is>
      </c>
      <c r="B155" s="5" t="n">
        <v>2026</v>
      </c>
      <c r="C155" s="5" t="inlineStr">
        <is>
          <t>Bob Brooks</t>
        </is>
      </c>
      <c r="D155" s="5" t="n"/>
      <c r="E155" s="5" t="inlineStr">
        <is>
          <t>Supports</t>
        </is>
      </c>
      <c r="F155" s="5" t="inlineStr">
        <is>
          <t>Email</t>
        </is>
      </c>
      <c r="G155" s="5" t="inlineStr">
        <is>
          <t>GIVEGREEN UNITED ACTION</t>
        </is>
      </c>
      <c r="H155" s="5" t="inlineStr">
        <is>
          <t>EMAIL MESSAGING</t>
        </is>
      </c>
      <c r="I155" s="5" t="inlineStr">
        <is>
          <t>BETHESDA</t>
        </is>
      </c>
      <c r="J155" s="5" t="inlineStr">
        <is>
          <t>MD</t>
        </is>
      </c>
      <c r="K155" s="33" t="n">
        <v>32</v>
      </c>
      <c r="L155" s="34" t="n"/>
      <c r="M155" s="5" t="inlineStr">
        <is>
          <t>2026-06-25</t>
        </is>
      </c>
    </row>
    <row r="156">
      <c r="A156" s="5" t="inlineStr">
        <is>
          <t>outside_itemized</t>
        </is>
      </c>
      <c r="B156" s="5" t="n">
        <v>2026</v>
      </c>
      <c r="C156" s="5" t="inlineStr">
        <is>
          <t>Bob Brooks</t>
        </is>
      </c>
      <c r="D156" s="5" t="n"/>
      <c r="E156" s="5" t="inlineStr">
        <is>
          <t>Supports</t>
        </is>
      </c>
      <c r="F156" s="5" t="inlineStr">
        <is>
          <t>Texting and phone calls</t>
        </is>
      </c>
      <c r="G156" s="5" t="inlineStr">
        <is>
          <t>GIVEGREEN UNITED ACTION</t>
        </is>
      </c>
      <c r="H156" s="5" t="inlineStr">
        <is>
          <t>TEXT MESSAGING</t>
        </is>
      </c>
      <c r="I156" s="5" t="inlineStr">
        <is>
          <t>BETHESDA</t>
        </is>
      </c>
      <c r="J156" s="5" t="inlineStr">
        <is>
          <t>MD</t>
        </is>
      </c>
      <c r="K156" s="33" t="n">
        <v>4.54</v>
      </c>
      <c r="L156" s="34" t="n"/>
      <c r="M156" s="5" t="inlineStr">
        <is>
          <t>2026-06-25</t>
        </is>
      </c>
    </row>
    <row r="157">
      <c r="A157" s="5" t="inlineStr">
        <is>
          <t>spending_by_category</t>
        </is>
      </c>
      <c r="B157" s="5" t="n">
        <v>2026</v>
      </c>
      <c r="C157" s="5" t="inlineStr">
        <is>
          <t>Bob Brooks</t>
        </is>
      </c>
      <c r="D157" s="5" t="inlineStr">
        <is>
          <t>DEM</t>
        </is>
      </c>
      <c r="E157" s="5" t="n"/>
      <c r="F157" s="5" t="inlineStr">
        <is>
          <t>Television advertising</t>
        </is>
      </c>
      <c r="G157" s="5" t="n"/>
      <c r="H157" s="5" t="n"/>
      <c r="I157" s="5" t="n"/>
      <c r="J157" s="5" t="n"/>
      <c r="K157" s="33" t="n">
        <v>521229</v>
      </c>
      <c r="L157" s="34" t="n">
        <v>9</v>
      </c>
      <c r="M157" s="5" t="inlineStr">
        <is>
          <t>2026-06-30</t>
        </is>
      </c>
    </row>
    <row r="158">
      <c r="A158" s="5" t="inlineStr">
        <is>
          <t>spending_by_category</t>
        </is>
      </c>
      <c r="B158" s="5" t="n">
        <v>2026</v>
      </c>
      <c r="C158" s="5" t="inlineStr">
        <is>
          <t>Bob Brooks</t>
        </is>
      </c>
      <c r="D158" s="5" t="inlineStr">
        <is>
          <t>DEM</t>
        </is>
      </c>
      <c r="E158" s="5" t="n"/>
      <c r="F158" s="5" t="inlineStr">
        <is>
          <t>Digital advertising</t>
        </is>
      </c>
      <c r="G158" s="5" t="n"/>
      <c r="H158" s="5" t="n"/>
      <c r="I158" s="5" t="n"/>
      <c r="J158" s="5" t="n"/>
      <c r="K158" s="33" t="n">
        <v>258938.16</v>
      </c>
      <c r="L158" s="34" t="n">
        <v>19</v>
      </c>
      <c r="M158" s="5" t="inlineStr">
        <is>
          <t>2026-06-30</t>
        </is>
      </c>
    </row>
    <row r="159">
      <c r="A159" s="5" t="inlineStr">
        <is>
          <t>spending_by_category</t>
        </is>
      </c>
      <c r="B159" s="5" t="n">
        <v>2026</v>
      </c>
      <c r="C159" s="5" t="inlineStr">
        <is>
          <t>Bob Brooks</t>
        </is>
      </c>
      <c r="D159" s="5" t="inlineStr">
        <is>
          <t>DEM</t>
        </is>
      </c>
      <c r="E159" s="5" t="n"/>
      <c r="F159" s="5" t="inlineStr">
        <is>
          <t>Staff and payroll</t>
        </is>
      </c>
      <c r="G159" s="5" t="n"/>
      <c r="H159" s="5" t="n"/>
      <c r="I159" s="5" t="n"/>
      <c r="J159" s="5" t="n"/>
      <c r="K159" s="33" t="n">
        <v>204066.98</v>
      </c>
      <c r="L159" s="34" t="n">
        <v>61</v>
      </c>
      <c r="M159" s="5" t="inlineStr">
        <is>
          <t>2026-06-30</t>
        </is>
      </c>
    </row>
    <row r="160">
      <c r="A160" s="5" t="inlineStr">
        <is>
          <t>spending_by_category</t>
        </is>
      </c>
      <c r="B160" s="5" t="n">
        <v>2026</v>
      </c>
      <c r="C160" s="5" t="inlineStr">
        <is>
          <t>Bob Brooks</t>
        </is>
      </c>
      <c r="D160" s="5" t="inlineStr">
        <is>
          <t>DEM</t>
        </is>
      </c>
      <c r="E160" s="5" t="n"/>
      <c r="F160" s="5" t="inlineStr">
        <is>
          <t>Fundraising</t>
        </is>
      </c>
      <c r="G160" s="5" t="n"/>
      <c r="H160" s="5" t="n"/>
      <c r="I160" s="5" t="n"/>
      <c r="J160" s="5" t="n"/>
      <c r="K160" s="33" t="n">
        <v>105581.67</v>
      </c>
      <c r="L160" s="34" t="n">
        <v>169</v>
      </c>
      <c r="M160" s="5" t="inlineStr">
        <is>
          <t>2026-06-30</t>
        </is>
      </c>
    </row>
    <row r="161">
      <c r="A161" s="5" t="inlineStr">
        <is>
          <t>spending_by_category</t>
        </is>
      </c>
      <c r="B161" s="5" t="n">
        <v>2026</v>
      </c>
      <c r="C161" s="5" t="inlineStr">
        <is>
          <t>Bob Brooks</t>
        </is>
      </c>
      <c r="D161" s="5" t="inlineStr">
        <is>
          <t>DEM</t>
        </is>
      </c>
      <c r="E161" s="5" t="n"/>
      <c r="F161" s="5" t="inlineStr">
        <is>
          <t>Office and administrative</t>
        </is>
      </c>
      <c r="G161" s="5" t="n"/>
      <c r="H161" s="5" t="n"/>
      <c r="I161" s="5" t="n"/>
      <c r="J161" s="5" t="n"/>
      <c r="K161" s="33" t="n">
        <v>94451.94</v>
      </c>
      <c r="L161" s="34" t="n">
        <v>48</v>
      </c>
      <c r="M161" s="5" t="inlineStr">
        <is>
          <t>2026-06-30</t>
        </is>
      </c>
    </row>
    <row r="162">
      <c r="A162" s="5" t="inlineStr">
        <is>
          <t>spending_by_category</t>
        </is>
      </c>
      <c r="B162" s="5" t="n">
        <v>2026</v>
      </c>
      <c r="C162" s="5" t="inlineStr">
        <is>
          <t>Bob Brooks</t>
        </is>
      </c>
      <c r="D162" s="5" t="inlineStr">
        <is>
          <t>DEM</t>
        </is>
      </c>
      <c r="E162" s="5" t="n"/>
      <c r="F162" s="5" t="inlineStr">
        <is>
          <t>Field, phones and texting</t>
        </is>
      </c>
      <c r="G162" s="5" t="n"/>
      <c r="H162" s="5" t="n"/>
      <c r="I162" s="5" t="n"/>
      <c r="J162" s="5" t="n"/>
      <c r="K162" s="33" t="n">
        <v>49977.25</v>
      </c>
      <c r="L162" s="34" t="n">
        <v>16</v>
      </c>
      <c r="M162" s="5" t="inlineStr">
        <is>
          <t>2026-06-30</t>
        </is>
      </c>
    </row>
    <row r="163">
      <c r="A163" s="5" t="inlineStr">
        <is>
          <t>spending_by_category</t>
        </is>
      </c>
      <c r="B163" s="5" t="n">
        <v>2026</v>
      </c>
      <c r="C163" s="5" t="inlineStr">
        <is>
          <t>Bob Brooks</t>
        </is>
      </c>
      <c r="D163" s="5" t="inlineStr">
        <is>
          <t>DEM</t>
        </is>
      </c>
      <c r="E163" s="5" t="n"/>
      <c r="F163" s="5" t="inlineStr">
        <is>
          <t>Polling and research</t>
        </is>
      </c>
      <c r="G163" s="5" t="n"/>
      <c r="H163" s="5" t="n"/>
      <c r="I163" s="5" t="n"/>
      <c r="J163" s="5" t="n"/>
      <c r="K163" s="33" t="n">
        <v>41005</v>
      </c>
      <c r="L163" s="34" t="n">
        <v>8</v>
      </c>
      <c r="M163" s="5" t="inlineStr">
        <is>
          <t>2026-06-30</t>
        </is>
      </c>
    </row>
    <row r="164">
      <c r="A164" s="5" t="inlineStr">
        <is>
          <t>spending_by_category</t>
        </is>
      </c>
      <c r="B164" s="5" t="n">
        <v>2026</v>
      </c>
      <c r="C164" s="5" t="inlineStr">
        <is>
          <t>Bob Brooks</t>
        </is>
      </c>
      <c r="D164" s="5" t="inlineStr">
        <is>
          <t>DEM</t>
        </is>
      </c>
      <c r="E164" s="5" t="n"/>
      <c r="F164" s="5" t="inlineStr">
        <is>
          <t>Media production</t>
        </is>
      </c>
      <c r="G164" s="5" t="n"/>
      <c r="H164" s="5" t="n"/>
      <c r="I164" s="5" t="n"/>
      <c r="J164" s="5" t="n"/>
      <c r="K164" s="33" t="n">
        <v>34156.56</v>
      </c>
      <c r="L164" s="34" t="n">
        <v>5</v>
      </c>
      <c r="M164" s="5" t="inlineStr">
        <is>
          <t>2026-06-30</t>
        </is>
      </c>
    </row>
    <row r="165">
      <c r="A165" s="5" t="inlineStr">
        <is>
          <t>spending_by_category</t>
        </is>
      </c>
      <c r="B165" s="5" t="n">
        <v>2026</v>
      </c>
      <c r="C165" s="5" t="inlineStr">
        <is>
          <t>Bob Brooks</t>
        </is>
      </c>
      <c r="D165" s="5" t="inlineStr">
        <is>
          <t>DEM</t>
        </is>
      </c>
      <c r="E165" s="5" t="n"/>
      <c r="F165" s="5" t="inlineStr">
        <is>
          <t>Mail and printing</t>
        </is>
      </c>
      <c r="G165" s="5" t="n"/>
      <c r="H165" s="5" t="n"/>
      <c r="I165" s="5" t="n"/>
      <c r="J165" s="5" t="n"/>
      <c r="K165" s="33" t="n">
        <v>22167.78</v>
      </c>
      <c r="L165" s="34" t="n">
        <v>15</v>
      </c>
      <c r="M165" s="5" t="inlineStr">
        <is>
          <t>2026-06-30</t>
        </is>
      </c>
    </row>
    <row r="166">
      <c r="A166" s="5" t="inlineStr">
        <is>
          <t>spending_by_category</t>
        </is>
      </c>
      <c r="B166" s="5" t="n">
        <v>2026</v>
      </c>
      <c r="C166" s="5" t="inlineStr">
        <is>
          <t>Bob Brooks</t>
        </is>
      </c>
      <c r="D166" s="5" t="inlineStr">
        <is>
          <t>DEM</t>
        </is>
      </c>
      <c r="E166" s="5" t="n"/>
      <c r="F166" s="5" t="inlineStr">
        <is>
          <t>Refunds</t>
        </is>
      </c>
      <c r="G166" s="5" t="n"/>
      <c r="H166" s="5" t="n"/>
      <c r="I166" s="5" t="n"/>
      <c r="J166" s="5" t="n"/>
      <c r="K166" s="33" t="n">
        <v>10375</v>
      </c>
      <c r="L166" s="34" t="n">
        <v>12</v>
      </c>
      <c r="M166" s="5" t="inlineStr">
        <is>
          <t>2026-06-30</t>
        </is>
      </c>
    </row>
    <row r="167">
      <c r="A167" s="5" t="inlineStr">
        <is>
          <t>spending_by_category</t>
        </is>
      </c>
      <c r="B167" s="5" t="n">
        <v>2026</v>
      </c>
      <c r="C167" s="5" t="inlineStr">
        <is>
          <t>Bob Brooks</t>
        </is>
      </c>
      <c r="D167" s="5" t="inlineStr">
        <is>
          <t>DEM</t>
        </is>
      </c>
      <c r="E167" s="5" t="n"/>
      <c r="F167" s="5" t="inlineStr">
        <is>
          <t>Consulting</t>
        </is>
      </c>
      <c r="G167" s="5" t="n"/>
      <c r="H167" s="5" t="n"/>
      <c r="I167" s="5" t="n"/>
      <c r="J167" s="5" t="n"/>
      <c r="K167" s="33" t="n">
        <v>10000</v>
      </c>
      <c r="L167" s="34" t="n">
        <v>1</v>
      </c>
      <c r="M167" s="5" t="inlineStr">
        <is>
          <t>2026-06-30</t>
        </is>
      </c>
    </row>
    <row r="168">
      <c r="A168" s="5" t="inlineStr">
        <is>
          <t>spending_by_category</t>
        </is>
      </c>
      <c r="B168" s="5" t="n">
        <v>2026</v>
      </c>
      <c r="C168" s="5" t="inlineStr">
        <is>
          <t>Bob Brooks</t>
        </is>
      </c>
      <c r="D168" s="5" t="inlineStr">
        <is>
          <t>DEM</t>
        </is>
      </c>
      <c r="E168" s="5" t="n"/>
      <c r="F168" s="5" t="inlineStr">
        <is>
          <t>Travel</t>
        </is>
      </c>
      <c r="G168" s="5" t="n"/>
      <c r="H168" s="5" t="n"/>
      <c r="I168" s="5" t="n"/>
      <c r="J168" s="5" t="n"/>
      <c r="K168" s="33" t="n">
        <v>6186.67</v>
      </c>
      <c r="L168" s="34" t="n">
        <v>20</v>
      </c>
      <c r="M168" s="5" t="inlineStr">
        <is>
          <t>2026-06-30</t>
        </is>
      </c>
    </row>
    <row r="169">
      <c r="A169" s="5" t="inlineStr">
        <is>
          <t>spending_by_category</t>
        </is>
      </c>
      <c r="B169" s="5" t="n">
        <v>2026</v>
      </c>
      <c r="C169" s="5" t="inlineStr">
        <is>
          <t>Bob Brooks</t>
        </is>
      </c>
      <c r="D169" s="5" t="inlineStr">
        <is>
          <t>DEM</t>
        </is>
      </c>
      <c r="E169" s="5" t="n"/>
      <c r="F169" s="5" t="inlineStr">
        <is>
          <t>Other</t>
        </is>
      </c>
      <c r="G169" s="5" t="n"/>
      <c r="H169" s="5" t="n"/>
      <c r="I169" s="5" t="n"/>
      <c r="J169" s="5" t="n"/>
      <c r="K169" s="33" t="n">
        <v>4318.17</v>
      </c>
      <c r="L169" s="34" t="n">
        <v>2</v>
      </c>
      <c r="M169" s="5" t="inlineStr">
        <is>
          <t>2026-06-30</t>
        </is>
      </c>
    </row>
    <row r="170">
      <c r="A170" s="5" t="inlineStr">
        <is>
          <t>spending_by_category</t>
        </is>
      </c>
      <c r="B170" s="5" t="n">
        <v>2026</v>
      </c>
      <c r="C170" s="5" t="inlineStr">
        <is>
          <t>Bob Brooks</t>
        </is>
      </c>
      <c r="D170" s="5" t="inlineStr">
        <is>
          <t>DEM</t>
        </is>
      </c>
      <c r="E170" s="5" t="n"/>
      <c r="F170" s="5" t="inlineStr">
        <is>
          <t>Events and meals</t>
        </is>
      </c>
      <c r="G170" s="5" t="n"/>
      <c r="H170" s="5" t="n"/>
      <c r="I170" s="5" t="n"/>
      <c r="J170" s="5" t="n"/>
      <c r="K170" s="33" t="n">
        <v>4117.43</v>
      </c>
      <c r="L170" s="34" t="n">
        <v>12</v>
      </c>
      <c r="M170" s="5" t="inlineStr">
        <is>
          <t>2026-06-30</t>
        </is>
      </c>
    </row>
    <row r="171">
      <c r="A171" s="5" t="inlineStr">
        <is>
          <t>spending_by_category</t>
        </is>
      </c>
      <c r="B171" s="5" t="n">
        <v>2026</v>
      </c>
      <c r="C171" s="5" t="inlineStr">
        <is>
          <t>Bob Brooks</t>
        </is>
      </c>
      <c r="D171" s="5" t="inlineStr">
        <is>
          <t>DEM</t>
        </is>
      </c>
      <c r="E171" s="5" t="n"/>
      <c r="F171" s="5" t="inlineStr">
        <is>
          <t>Contributions and donations</t>
        </is>
      </c>
      <c r="G171" s="5" t="n"/>
      <c r="H171" s="5" t="n"/>
      <c r="I171" s="5" t="n"/>
      <c r="J171" s="5" t="n"/>
      <c r="K171" s="33" t="n">
        <v>1333.76</v>
      </c>
      <c r="L171" s="34" t="n">
        <v>6</v>
      </c>
      <c r="M171" s="5" t="inlineStr">
        <is>
          <t>2026-06-30</t>
        </is>
      </c>
    </row>
    <row r="172">
      <c r="A172" s="5" t="inlineStr">
        <is>
          <t>spending_by_category</t>
        </is>
      </c>
      <c r="B172" s="5" t="n">
        <v>2026</v>
      </c>
      <c r="C172" s="5" t="inlineStr">
        <is>
          <t>Bob Brooks</t>
        </is>
      </c>
      <c r="D172" s="5" t="inlineStr">
        <is>
          <t>DEM</t>
        </is>
      </c>
      <c r="E172" s="5" t="n"/>
      <c r="F172" s="5" t="inlineStr">
        <is>
          <t>Signs and merchandise</t>
        </is>
      </c>
      <c r="G172" s="5" t="n"/>
      <c r="H172" s="5" t="n"/>
      <c r="I172" s="5" t="n"/>
      <c r="J172" s="5" t="n"/>
      <c r="K172" s="33" t="n">
        <v>750</v>
      </c>
      <c r="L172" s="34" t="n">
        <v>1</v>
      </c>
      <c r="M172" s="5" t="inlineStr">
        <is>
          <t>2026-06-30</t>
        </is>
      </c>
    </row>
    <row r="173">
      <c r="A173" s="5" t="inlineStr">
        <is>
          <t>spending_top_payees</t>
        </is>
      </c>
      <c r="B173" s="5" t="n">
        <v>2026</v>
      </c>
      <c r="C173" s="5" t="inlineStr">
        <is>
          <t>Bob Brooks</t>
        </is>
      </c>
      <c r="D173" s="5" t="inlineStr">
        <is>
          <t>DEM</t>
        </is>
      </c>
      <c r="E173" s="5" t="n"/>
      <c r="F173" s="5" t="inlineStr">
        <is>
          <t>Television advertising</t>
        </is>
      </c>
      <c r="G173" s="5" t="inlineStr">
        <is>
          <t>LC MEDIA LLC</t>
        </is>
      </c>
      <c r="H173" s="5" t="n"/>
      <c r="I173" s="5" t="inlineStr">
        <is>
          <t>HUNTINGDON VALLEY</t>
        </is>
      </c>
      <c r="J173" s="5" t="inlineStr">
        <is>
          <t>PA</t>
        </is>
      </c>
      <c r="K173" s="33" t="n">
        <v>543229</v>
      </c>
      <c r="L173" s="34" t="n">
        <v>11</v>
      </c>
      <c r="M173" s="5" t="inlineStr">
        <is>
          <t>2026-06-30</t>
        </is>
      </c>
    </row>
    <row r="174">
      <c r="A174" s="5" t="inlineStr">
        <is>
          <t>spending_top_payees</t>
        </is>
      </c>
      <c r="B174" s="5" t="n">
        <v>2026</v>
      </c>
      <c r="C174" s="5" t="inlineStr">
        <is>
          <t>Bob Brooks</t>
        </is>
      </c>
      <c r="D174" s="5" t="inlineStr">
        <is>
          <t>DEM</t>
        </is>
      </c>
      <c r="E174" s="5" t="n"/>
      <c r="F174" s="5" t="inlineStr">
        <is>
          <t>Digital advertising</t>
        </is>
      </c>
      <c r="G174" s="5" t="inlineStr">
        <is>
          <t>ASCEND DIGITAL</t>
        </is>
      </c>
      <c r="H174" s="5" t="n"/>
      <c r="I174" s="5" t="inlineStr">
        <is>
          <t>WASHINGTON</t>
        </is>
      </c>
      <c r="J174" s="5" t="inlineStr">
        <is>
          <t>DC</t>
        </is>
      </c>
      <c r="K174" s="33" t="n">
        <v>203646.79</v>
      </c>
      <c r="L174" s="34" t="n">
        <v>7</v>
      </c>
      <c r="M174" s="5" t="inlineStr">
        <is>
          <t>2026-06-30</t>
        </is>
      </c>
    </row>
    <row r="175">
      <c r="A175" s="5" t="inlineStr">
        <is>
          <t>spending_top_payees</t>
        </is>
      </c>
      <c r="B175" s="5" t="n">
        <v>2026</v>
      </c>
      <c r="C175" s="5" t="inlineStr">
        <is>
          <t>Bob Brooks</t>
        </is>
      </c>
      <c r="D175" s="5" t="inlineStr">
        <is>
          <t>DEM</t>
        </is>
      </c>
      <c r="E175" s="5" t="n"/>
      <c r="F175" s="5" t="inlineStr">
        <is>
          <t>Staff and payroll</t>
        </is>
      </c>
      <c r="G175" s="5" t="inlineStr">
        <is>
          <t>KAUFMAN, JENNA</t>
        </is>
      </c>
      <c r="H175" s="5" t="n"/>
      <c r="I175" s="5" t="inlineStr">
        <is>
          <t>BETHLEHEM</t>
        </is>
      </c>
      <c r="J175" s="5" t="inlineStr">
        <is>
          <t>PA</t>
        </is>
      </c>
      <c r="K175" s="33" t="n">
        <v>75187.39999999999</v>
      </c>
      <c r="L175" s="34" t="n">
        <v>16</v>
      </c>
      <c r="M175" s="5" t="inlineStr">
        <is>
          <t>2026-06-30</t>
        </is>
      </c>
    </row>
    <row r="176">
      <c r="A176" s="5" t="inlineStr">
        <is>
          <t>spending_top_payees</t>
        </is>
      </c>
      <c r="B176" s="5" t="n">
        <v>2026</v>
      </c>
      <c r="C176" s="5" t="inlineStr">
        <is>
          <t>Bob Brooks</t>
        </is>
      </c>
      <c r="D176" s="5" t="inlineStr">
        <is>
          <t>DEM</t>
        </is>
      </c>
      <c r="E176" s="5" t="n"/>
      <c r="F176" s="5" t="inlineStr">
        <is>
          <t>Staff and payroll</t>
        </is>
      </c>
      <c r="G176" s="5" t="inlineStr">
        <is>
          <t>WERNER, JACK</t>
        </is>
      </c>
      <c r="H176" s="5" t="n"/>
      <c r="I176" s="5" t="inlineStr">
        <is>
          <t>EASTON</t>
        </is>
      </c>
      <c r="J176" s="5" t="inlineStr">
        <is>
          <t>PA</t>
        </is>
      </c>
      <c r="K176" s="33" t="n">
        <v>58673.23</v>
      </c>
      <c r="L176" s="34" t="n">
        <v>17</v>
      </c>
      <c r="M176" s="5" t="inlineStr">
        <is>
          <t>2026-06-30</t>
        </is>
      </c>
    </row>
    <row r="177">
      <c r="A177" s="5" t="inlineStr">
        <is>
          <t>spending_top_payees</t>
        </is>
      </c>
      <c r="B177" s="5" t="n">
        <v>2026</v>
      </c>
      <c r="C177" s="5" t="inlineStr">
        <is>
          <t>Bob Brooks</t>
        </is>
      </c>
      <c r="D177" s="5" t="inlineStr">
        <is>
          <t>DEM</t>
        </is>
      </c>
      <c r="E177" s="5" t="n"/>
      <c r="F177" s="5" t="inlineStr">
        <is>
          <t>Staff and payroll</t>
        </is>
      </c>
      <c r="G177" s="5" t="inlineStr">
        <is>
          <t>PAYCHEX</t>
        </is>
      </c>
      <c r="H177" s="5" t="n"/>
      <c r="I177" s="5" t="inlineStr">
        <is>
          <t>ROCHESTER</t>
        </is>
      </c>
      <c r="J177" s="5" t="inlineStr">
        <is>
          <t>NY</t>
        </is>
      </c>
      <c r="K177" s="33" t="n">
        <v>54920.71</v>
      </c>
      <c r="L177" s="34" t="n">
        <v>35</v>
      </c>
      <c r="M177" s="5" t="inlineStr">
        <is>
          <t>2026-06-30</t>
        </is>
      </c>
    </row>
    <row r="178">
      <c r="A178" s="5" t="inlineStr">
        <is>
          <t>spending_top_payees</t>
        </is>
      </c>
      <c r="B178" s="5" t="n">
        <v>2026</v>
      </c>
      <c r="C178" s="5" t="inlineStr">
        <is>
          <t>Bob Brooks</t>
        </is>
      </c>
      <c r="D178" s="5" t="inlineStr">
        <is>
          <t>DEM</t>
        </is>
      </c>
      <c r="E178" s="5" t="n"/>
      <c r="F178" s="5" t="inlineStr">
        <is>
          <t>Fundraising</t>
        </is>
      </c>
      <c r="G178" s="5" t="inlineStr">
        <is>
          <t>ACTBLUE TECHNICAL SERVICES</t>
        </is>
      </c>
      <c r="H178" s="5" t="n"/>
      <c r="I178" s="5" t="inlineStr">
        <is>
          <t>WEST SOMERVILLE</t>
        </is>
      </c>
      <c r="J178" s="5" t="inlineStr">
        <is>
          <t>MA</t>
        </is>
      </c>
      <c r="K178" s="33" t="n">
        <v>54605.66</v>
      </c>
      <c r="L178" s="34" t="n">
        <v>76</v>
      </c>
      <c r="M178" s="5" t="inlineStr">
        <is>
          <t>2026-06-30</t>
        </is>
      </c>
    </row>
    <row r="179">
      <c r="A179" s="5" t="inlineStr">
        <is>
          <t>spending_top_payees</t>
        </is>
      </c>
      <c r="B179" s="5" t="n">
        <v>2026</v>
      </c>
      <c r="C179" s="5" t="inlineStr">
        <is>
          <t>Bob Brooks</t>
        </is>
      </c>
      <c r="D179" s="5" t="inlineStr">
        <is>
          <t>DEM</t>
        </is>
      </c>
      <c r="E179" s="5" t="n"/>
      <c r="F179" s="5" t="inlineStr">
        <is>
          <t>Polling and research</t>
        </is>
      </c>
      <c r="G179" s="5" t="inlineStr">
        <is>
          <t>ARC INITIATIVES</t>
        </is>
      </c>
      <c r="H179" s="5" t="n"/>
      <c r="I179" s="5" t="inlineStr">
        <is>
          <t>WASHINGTON</t>
        </is>
      </c>
      <c r="J179" s="5" t="inlineStr">
        <is>
          <t>DC</t>
        </is>
      </c>
      <c r="K179" s="33" t="n">
        <v>35000</v>
      </c>
      <c r="L179" s="34" t="n">
        <v>7</v>
      </c>
      <c r="M179" s="5" t="inlineStr">
        <is>
          <t>2026-06-30</t>
        </is>
      </c>
    </row>
    <row r="180">
      <c r="A180" s="5" t="inlineStr">
        <is>
          <t>spending_top_payees</t>
        </is>
      </c>
      <c r="B180" s="5" t="n">
        <v>2026</v>
      </c>
      <c r="C180" s="5" t="inlineStr">
        <is>
          <t>Bob Brooks</t>
        </is>
      </c>
      <c r="D180" s="5" t="inlineStr">
        <is>
          <t>DEM</t>
        </is>
      </c>
      <c r="E180" s="5" t="n"/>
      <c r="F180" s="5" t="inlineStr">
        <is>
          <t>Digital advertising</t>
        </is>
      </c>
      <c r="G180" s="5" t="inlineStr">
        <is>
          <t>TRUE BLUE DIGITAL</t>
        </is>
      </c>
      <c r="H180" s="5" t="n"/>
      <c r="I180" s="5" t="inlineStr">
        <is>
          <t>CHICAGO</t>
        </is>
      </c>
      <c r="J180" s="5" t="inlineStr">
        <is>
          <t>IL</t>
        </is>
      </c>
      <c r="K180" s="33" t="n">
        <v>34817.13</v>
      </c>
      <c r="L180" s="34" t="n">
        <v>8</v>
      </c>
      <c r="M180" s="5" t="inlineStr">
        <is>
          <t>2026-06-30</t>
        </is>
      </c>
    </row>
    <row r="181">
      <c r="A181" s="5" t="inlineStr">
        <is>
          <t>spending_top_payees</t>
        </is>
      </c>
      <c r="B181" s="5" t="n">
        <v>2026</v>
      </c>
      <c r="C181" s="5" t="inlineStr">
        <is>
          <t>Bob Brooks</t>
        </is>
      </c>
      <c r="D181" s="5" t="inlineStr">
        <is>
          <t>DEM</t>
        </is>
      </c>
      <c r="E181" s="5" t="n"/>
      <c r="F181" s="5" t="inlineStr">
        <is>
          <t>Office and administrative</t>
        </is>
      </c>
      <c r="G181" s="5" t="inlineStr">
        <is>
          <t>NGP VAN</t>
        </is>
      </c>
      <c r="H181" s="5" t="n"/>
      <c r="I181" s="5" t="inlineStr">
        <is>
          <t>AUSTIN</t>
        </is>
      </c>
      <c r="J181" s="5" t="inlineStr">
        <is>
          <t>TX</t>
        </is>
      </c>
      <c r="K181" s="33" t="n">
        <v>31749.04</v>
      </c>
      <c r="L181" s="34" t="n">
        <v>5</v>
      </c>
      <c r="M181" s="5" t="inlineStr">
        <is>
          <t>2026-06-30</t>
        </is>
      </c>
    </row>
    <row r="182">
      <c r="A182" s="5" t="inlineStr">
        <is>
          <t>spending_top_payees</t>
        </is>
      </c>
      <c r="B182" s="5" t="n">
        <v>2026</v>
      </c>
      <c r="C182" s="5" t="inlineStr">
        <is>
          <t>Bob Brooks</t>
        </is>
      </c>
      <c r="D182" s="5" t="inlineStr">
        <is>
          <t>DEM</t>
        </is>
      </c>
      <c r="E182" s="5" t="n"/>
      <c r="F182" s="5" t="inlineStr">
        <is>
          <t>Office and administrative</t>
        </is>
      </c>
      <c r="G182" s="5" t="inlineStr">
        <is>
          <t>CFO COMPLIANCE</t>
        </is>
      </c>
      <c r="H182" s="5" t="n"/>
      <c r="I182" s="5" t="inlineStr">
        <is>
          <t>PROVIDENCE</t>
        </is>
      </c>
      <c r="J182" s="5" t="inlineStr">
        <is>
          <t>RI</t>
        </is>
      </c>
      <c r="K182" s="33" t="n">
        <v>26182.97</v>
      </c>
      <c r="L182" s="34" t="n">
        <v>9</v>
      </c>
      <c r="M182" s="5" t="inlineStr">
        <is>
          <t>2026-06-30</t>
        </is>
      </c>
    </row>
    <row r="183">
      <c r="A183" s="5" t="inlineStr">
        <is>
          <t>spending_top_payees</t>
        </is>
      </c>
      <c r="B183" s="5" t="n">
        <v>2026</v>
      </c>
      <c r="C183" s="5" t="inlineStr">
        <is>
          <t>Bob Brooks</t>
        </is>
      </c>
      <c r="D183" s="5" t="inlineStr">
        <is>
          <t>DEM</t>
        </is>
      </c>
      <c r="E183" s="5" t="n"/>
      <c r="F183" s="5" t="inlineStr">
        <is>
          <t>Staff and payroll</t>
        </is>
      </c>
      <c r="G183" s="5" t="inlineStr">
        <is>
          <t>WRIGLEY, JOHN</t>
        </is>
      </c>
      <c r="H183" s="5" t="n"/>
      <c r="I183" s="5" t="inlineStr">
        <is>
          <t>ALLENTOWN</t>
        </is>
      </c>
      <c r="J183" s="5" t="inlineStr">
        <is>
          <t>PA</t>
        </is>
      </c>
      <c r="K183" s="33" t="n">
        <v>22312</v>
      </c>
      <c r="L183" s="34" t="n">
        <v>8</v>
      </c>
      <c r="M183" s="5" t="inlineStr">
        <is>
          <t>2026-06-30</t>
        </is>
      </c>
    </row>
    <row r="184">
      <c r="A184" s="5" t="inlineStr">
        <is>
          <t>spending_top_payees</t>
        </is>
      </c>
      <c r="B184" s="5" t="n">
        <v>2026</v>
      </c>
      <c r="C184" s="5" t="inlineStr">
        <is>
          <t>Bob Brooks</t>
        </is>
      </c>
      <c r="D184" s="5" t="inlineStr">
        <is>
          <t>DEM</t>
        </is>
      </c>
      <c r="E184" s="5" t="n"/>
      <c r="F184" s="5" t="inlineStr">
        <is>
          <t>Fundraising</t>
        </is>
      </c>
      <c r="G184" s="5" t="inlineStr">
        <is>
          <t>GRASSROOTS ANALYTICS</t>
        </is>
      </c>
      <c r="H184" s="5" t="n"/>
      <c r="I184" s="5" t="inlineStr">
        <is>
          <t>WASHINGTON</t>
        </is>
      </c>
      <c r="J184" s="5" t="inlineStr">
        <is>
          <t>DC</t>
        </is>
      </c>
      <c r="K184" s="33" t="n">
        <v>17832.07</v>
      </c>
      <c r="L184" s="34" t="n">
        <v>12</v>
      </c>
      <c r="M184" s="5" t="inlineStr">
        <is>
          <t>2026-06-30</t>
        </is>
      </c>
    </row>
    <row r="185">
      <c r="A185" s="5" t="inlineStr">
        <is>
          <t>spending_top_payees</t>
        </is>
      </c>
      <c r="B185" s="5" t="n">
        <v>2026</v>
      </c>
      <c r="C185" s="5" t="inlineStr">
        <is>
          <t>Bob Brooks</t>
        </is>
      </c>
      <c r="D185" s="5" t="inlineStr">
        <is>
          <t>DEM</t>
        </is>
      </c>
      <c r="E185" s="5" t="n"/>
      <c r="F185" s="5" t="inlineStr">
        <is>
          <t>Field, phones and texting</t>
        </is>
      </c>
      <c r="G185" s="5" t="inlineStr">
        <is>
          <t>MCCOACH, JAKE</t>
        </is>
      </c>
      <c r="H185" s="5" t="n"/>
      <c r="I185" s="5" t="inlineStr">
        <is>
          <t>FREEPORT</t>
        </is>
      </c>
      <c r="J185" s="5" t="inlineStr">
        <is>
          <t>PA</t>
        </is>
      </c>
      <c r="K185" s="33" t="n">
        <v>15000</v>
      </c>
      <c r="L185" s="34" t="n">
        <v>3</v>
      </c>
      <c r="M185" s="5" t="inlineStr">
        <is>
          <t>2026-06-30</t>
        </is>
      </c>
    </row>
    <row r="186">
      <c r="A186" s="5" t="inlineStr">
        <is>
          <t>spending_top_payees</t>
        </is>
      </c>
      <c r="B186" s="5" t="n">
        <v>2026</v>
      </c>
      <c r="C186" s="5" t="inlineStr">
        <is>
          <t>Bob Brooks</t>
        </is>
      </c>
      <c r="D186" s="5" t="inlineStr">
        <is>
          <t>DEM</t>
        </is>
      </c>
      <c r="E186" s="5" t="n"/>
      <c r="F186" s="5" t="inlineStr">
        <is>
          <t>Field, phones and texting</t>
        </is>
      </c>
      <c r="G186" s="5" t="inlineStr">
        <is>
          <t>SEIU PENNSYLVANIA STATE COUNCIL</t>
        </is>
      </c>
      <c r="H186" s="5" t="n"/>
      <c r="I186" s="5" t="inlineStr">
        <is>
          <t>HARRISBURG</t>
        </is>
      </c>
      <c r="J186" s="5" t="inlineStr">
        <is>
          <t>PA</t>
        </is>
      </c>
      <c r="K186" s="33" t="n">
        <v>15000</v>
      </c>
      <c r="L186" s="34" t="n">
        <v>1</v>
      </c>
      <c r="M186" s="5" t="inlineStr">
        <is>
          <t>2026-06-30</t>
        </is>
      </c>
    </row>
    <row r="187">
      <c r="A187" s="5" t="inlineStr">
        <is>
          <t>spending_top_payees</t>
        </is>
      </c>
      <c r="B187" s="5" t="n">
        <v>2026</v>
      </c>
      <c r="C187" s="5" t="inlineStr">
        <is>
          <t>Bob Brooks</t>
        </is>
      </c>
      <c r="D187" s="5" t="inlineStr">
        <is>
          <t>DEM</t>
        </is>
      </c>
      <c r="E187" s="5" t="n"/>
      <c r="F187" s="5" t="inlineStr">
        <is>
          <t>Digital advertising</t>
        </is>
      </c>
      <c r="G187" s="5" t="inlineStr">
        <is>
          <t>SOUTH STREET DIGITAL</t>
        </is>
      </c>
      <c r="H187" s="5" t="n"/>
      <c r="I187" s="5" t="inlineStr">
        <is>
          <t>PHILADELPHIA</t>
        </is>
      </c>
      <c r="J187" s="5" t="inlineStr">
        <is>
          <t>PA</t>
        </is>
      </c>
      <c r="K187" s="33" t="n">
        <v>14003.2</v>
      </c>
      <c r="L187" s="34" t="n">
        <v>3</v>
      </c>
      <c r="M187" s="5" t="inlineStr">
        <is>
          <t>2026-06-30</t>
        </is>
      </c>
    </row>
    <row r="188">
      <c r="A188" s="5" t="inlineStr">
        <is>
          <t>spending_by_payee_state</t>
        </is>
      </c>
      <c r="B188" s="5" t="n">
        <v>2026</v>
      </c>
      <c r="C188" s="5" t="inlineStr">
        <is>
          <t>Bob Brooks</t>
        </is>
      </c>
      <c r="D188" s="5" t="inlineStr">
        <is>
          <t>DEM</t>
        </is>
      </c>
      <c r="E188" s="5" t="n"/>
      <c r="F188" s="5" t="n"/>
      <c r="G188" s="5" t="n"/>
      <c r="H188" s="5" t="n"/>
      <c r="I188" s="5" t="n"/>
      <c r="J188" s="5" t="inlineStr">
        <is>
          <t>PA</t>
        </is>
      </c>
      <c r="K188" s="33" t="n">
        <v>798926.02</v>
      </c>
      <c r="L188" s="34" t="n">
        <v>101</v>
      </c>
      <c r="M188" s="5" t="inlineStr">
        <is>
          <t>2026-06-30</t>
        </is>
      </c>
    </row>
    <row r="189">
      <c r="A189" s="5" t="inlineStr">
        <is>
          <t>spending_by_payee_state</t>
        </is>
      </c>
      <c r="B189" s="5" t="n">
        <v>2026</v>
      </c>
      <c r="C189" s="5" t="inlineStr">
        <is>
          <t>Bob Brooks</t>
        </is>
      </c>
      <c r="D189" s="5" t="inlineStr">
        <is>
          <t>DEM</t>
        </is>
      </c>
      <c r="E189" s="5" t="n"/>
      <c r="F189" s="5" t="n"/>
      <c r="G189" s="5" t="n"/>
      <c r="H189" s="5" t="n"/>
      <c r="I189" s="5" t="n"/>
      <c r="J189" s="5" t="inlineStr">
        <is>
          <t>DC</t>
        </is>
      </c>
      <c r="K189" s="33" t="n">
        <v>274955.33</v>
      </c>
      <c r="L189" s="34" t="n">
        <v>64</v>
      </c>
      <c r="M189" s="5" t="inlineStr">
        <is>
          <t>2026-06-30</t>
        </is>
      </c>
    </row>
    <row r="190">
      <c r="A190" s="5" t="inlineStr">
        <is>
          <t>spending_by_payee_state</t>
        </is>
      </c>
      <c r="B190" s="5" t="n">
        <v>2026</v>
      </c>
      <c r="C190" s="5" t="inlineStr">
        <is>
          <t>Bob Brooks</t>
        </is>
      </c>
      <c r="D190" s="5" t="inlineStr">
        <is>
          <t>DEM</t>
        </is>
      </c>
      <c r="E190" s="5" t="n"/>
      <c r="F190" s="5" t="n"/>
      <c r="G190" s="5" t="n"/>
      <c r="H190" s="5" t="n"/>
      <c r="I190" s="5" t="n"/>
      <c r="J190" s="5" t="inlineStr">
        <is>
          <t>NY</t>
        </is>
      </c>
      <c r="K190" s="33" t="n">
        <v>69953.94</v>
      </c>
      <c r="L190" s="34" t="n">
        <v>44</v>
      </c>
      <c r="M190" s="5" t="inlineStr">
        <is>
          <t>2026-06-30</t>
        </is>
      </c>
    </row>
    <row r="191">
      <c r="A191" s="5" t="inlineStr">
        <is>
          <t>spending_by_payee_state</t>
        </is>
      </c>
      <c r="B191" s="5" t="n">
        <v>2026</v>
      </c>
      <c r="C191" s="5" t="inlineStr">
        <is>
          <t>Bob Brooks</t>
        </is>
      </c>
      <c r="D191" s="5" t="inlineStr">
        <is>
          <t>DEM</t>
        </is>
      </c>
      <c r="E191" s="5" t="n"/>
      <c r="F191" s="5" t="n"/>
      <c r="G191" s="5" t="n"/>
      <c r="H191" s="5" t="n"/>
      <c r="I191" s="5" t="n"/>
      <c r="J191" s="5" t="inlineStr">
        <is>
          <t>MA</t>
        </is>
      </c>
      <c r="K191" s="33" t="n">
        <v>57354.54</v>
      </c>
      <c r="L191" s="34" t="n">
        <v>82</v>
      </c>
      <c r="M191" s="5" t="inlineStr">
        <is>
          <t>2026-06-30</t>
        </is>
      </c>
    </row>
    <row r="192">
      <c r="A192" s="5" t="inlineStr">
        <is>
          <t>spending_by_payee_state</t>
        </is>
      </c>
      <c r="B192" s="5" t="n">
        <v>2026</v>
      </c>
      <c r="C192" s="5" t="inlineStr">
        <is>
          <t>Bob Brooks</t>
        </is>
      </c>
      <c r="D192" s="5" t="inlineStr">
        <is>
          <t>DEM</t>
        </is>
      </c>
      <c r="E192" s="5" t="n"/>
      <c r="F192" s="5" t="n"/>
      <c r="G192" s="5" t="n"/>
      <c r="H192" s="5" t="n"/>
      <c r="I192" s="5" t="n"/>
      <c r="J192" s="5" t="inlineStr">
        <is>
          <t>CA</t>
        </is>
      </c>
      <c r="K192" s="33" t="n">
        <v>39080.7</v>
      </c>
      <c r="L192" s="34" t="n">
        <v>35</v>
      </c>
      <c r="M192" s="5" t="inlineStr">
        <is>
          <t>2026-06-30</t>
        </is>
      </c>
    </row>
    <row r="193">
      <c r="A193" s="5" t="inlineStr">
        <is>
          <t>spending_by_payee_state</t>
        </is>
      </c>
      <c r="B193" s="5" t="n">
        <v>2026</v>
      </c>
      <c r="C193" s="5" t="inlineStr">
        <is>
          <t>Bob Brooks</t>
        </is>
      </c>
      <c r="D193" s="5" t="inlineStr">
        <is>
          <t>DEM</t>
        </is>
      </c>
      <c r="E193" s="5" t="n"/>
      <c r="F193" s="5" t="n"/>
      <c r="G193" s="5" t="n"/>
      <c r="H193" s="5" t="n"/>
      <c r="I193" s="5" t="n"/>
      <c r="J193" s="5" t="inlineStr">
        <is>
          <t>IL</t>
        </is>
      </c>
      <c r="K193" s="33" t="n">
        <v>35315.53</v>
      </c>
      <c r="L193" s="34" t="n">
        <v>9</v>
      </c>
      <c r="M193" s="5" t="inlineStr">
        <is>
          <t>2026-06-30</t>
        </is>
      </c>
    </row>
    <row r="194">
      <c r="A194" s="5" t="inlineStr">
        <is>
          <t>spending_by_payee_state</t>
        </is>
      </c>
      <c r="B194" s="5" t="n">
        <v>2026</v>
      </c>
      <c r="C194" s="5" t="inlineStr">
        <is>
          <t>Bob Brooks</t>
        </is>
      </c>
      <c r="D194" s="5" t="inlineStr">
        <is>
          <t>DEM</t>
        </is>
      </c>
      <c r="E194" s="5" t="n"/>
      <c r="F194" s="5" t="n"/>
      <c r="G194" s="5" t="n"/>
      <c r="H194" s="5" t="n"/>
      <c r="I194" s="5" t="n"/>
      <c r="J194" s="5" t="inlineStr">
        <is>
          <t>TX</t>
        </is>
      </c>
      <c r="K194" s="33" t="n">
        <v>32737.44</v>
      </c>
      <c r="L194" s="34" t="n">
        <v>7</v>
      </c>
      <c r="M194" s="5" t="inlineStr">
        <is>
          <t>2026-06-30</t>
        </is>
      </c>
    </row>
    <row r="195">
      <c r="A195" s="5" t="inlineStr">
        <is>
          <t>spending_by_payee_state</t>
        </is>
      </c>
      <c r="B195" s="5" t="n">
        <v>2026</v>
      </c>
      <c r="C195" s="5" t="inlineStr">
        <is>
          <t>Bob Brooks</t>
        </is>
      </c>
      <c r="D195" s="5" t="inlineStr">
        <is>
          <t>DEM</t>
        </is>
      </c>
      <c r="E195" s="5" t="n"/>
      <c r="F195" s="5" t="n"/>
      <c r="G195" s="5" t="n"/>
      <c r="H195" s="5" t="n"/>
      <c r="I195" s="5" t="n"/>
      <c r="J195" s="5" t="inlineStr">
        <is>
          <t>RI</t>
        </is>
      </c>
      <c r="K195" s="33" t="n">
        <v>26182.97</v>
      </c>
      <c r="L195" s="34" t="n">
        <v>9</v>
      </c>
      <c r="M195" s="5" t="inlineStr">
        <is>
          <t>2026-06-30</t>
        </is>
      </c>
    </row>
    <row r="196">
      <c r="A196" s="5" t="inlineStr">
        <is>
          <t>spending_by_payee_state</t>
        </is>
      </c>
      <c r="B196" s="5" t="n">
        <v>2026</v>
      </c>
      <c r="C196" s="5" t="inlineStr">
        <is>
          <t>Bob Brooks</t>
        </is>
      </c>
      <c r="D196" s="5" t="inlineStr">
        <is>
          <t>DEM</t>
        </is>
      </c>
      <c r="E196" s="5" t="n"/>
      <c r="F196" s="5" t="n"/>
      <c r="G196" s="5" t="n"/>
      <c r="H196" s="5" t="n"/>
      <c r="I196" s="5" t="n"/>
      <c r="J196" s="5" t="inlineStr">
        <is>
          <t>MD</t>
        </is>
      </c>
      <c r="K196" s="33" t="n">
        <v>20343.22</v>
      </c>
      <c r="L196" s="34" t="n">
        <v>16</v>
      </c>
      <c r="M196" s="5" t="inlineStr">
        <is>
          <t>2026-06-30</t>
        </is>
      </c>
    </row>
    <row r="197">
      <c r="A197" s="5" t="inlineStr">
        <is>
          <t>spending_by_payee_state</t>
        </is>
      </c>
      <c r="B197" s="5" t="n">
        <v>2026</v>
      </c>
      <c r="C197" s="5" t="inlineStr">
        <is>
          <t>Bob Brooks</t>
        </is>
      </c>
      <c r="D197" s="5" t="inlineStr">
        <is>
          <t>DEM</t>
        </is>
      </c>
      <c r="E197" s="5" t="n"/>
      <c r="F197" s="5" t="n"/>
      <c r="G197" s="5" t="n"/>
      <c r="H197" s="5" t="n"/>
      <c r="I197" s="5" t="n"/>
      <c r="J197" s="5" t="inlineStr">
        <is>
          <t>DE</t>
        </is>
      </c>
      <c r="K197" s="33" t="n">
        <v>7398.65</v>
      </c>
      <c r="L197" s="34" t="n">
        <v>27</v>
      </c>
      <c r="M197" s="5" t="inlineStr">
        <is>
          <t>2026-06-30</t>
        </is>
      </c>
    </row>
    <row r="198">
      <c r="A198" s="5" t="inlineStr">
        <is>
          <t>spending_by_payee_state</t>
        </is>
      </c>
      <c r="B198" s="5" t="n">
        <v>2026</v>
      </c>
      <c r="C198" s="5" t="inlineStr">
        <is>
          <t>Bob Brooks</t>
        </is>
      </c>
      <c r="D198" s="5" t="inlineStr">
        <is>
          <t>DEM</t>
        </is>
      </c>
      <c r="E198" s="5" t="n"/>
      <c r="F198" s="5" t="n"/>
      <c r="G198" s="5" t="n"/>
      <c r="H198" s="5" t="n"/>
      <c r="I198" s="5" t="n"/>
      <c r="J198" s="5" t="inlineStr">
        <is>
          <t>WA</t>
        </is>
      </c>
      <c r="K198" s="33" t="n">
        <v>2217.46</v>
      </c>
      <c r="L198" s="34" t="n">
        <v>1</v>
      </c>
      <c r="M198" s="5" t="inlineStr">
        <is>
          <t>2026-06-30</t>
        </is>
      </c>
    </row>
    <row r="199">
      <c r="A199" s="5" t="inlineStr">
        <is>
          <t>spending_by_payee_state</t>
        </is>
      </c>
      <c r="B199" s="5" t="n">
        <v>2026</v>
      </c>
      <c r="C199" s="5" t="inlineStr">
        <is>
          <t>Bob Brooks</t>
        </is>
      </c>
      <c r="D199" s="5" t="inlineStr">
        <is>
          <t>DEM</t>
        </is>
      </c>
      <c r="E199" s="5" t="n"/>
      <c r="F199" s="5" t="n"/>
      <c r="G199" s="5" t="n"/>
      <c r="H199" s="5" t="n"/>
      <c r="I199" s="5" t="n"/>
      <c r="J199" s="5" t="inlineStr">
        <is>
          <t>VA</t>
        </is>
      </c>
      <c r="K199" s="33" t="n">
        <v>1000</v>
      </c>
      <c r="L199" s="34" t="n">
        <v>1</v>
      </c>
      <c r="M199" s="5" t="inlineStr">
        <is>
          <t>2026-06-30</t>
        </is>
      </c>
    </row>
    <row r="200">
      <c r="A200" s="5" t="inlineStr">
        <is>
          <t>spending_by_payee_state</t>
        </is>
      </c>
      <c r="B200" s="5" t="n">
        <v>2026</v>
      </c>
      <c r="C200" s="5" t="inlineStr">
        <is>
          <t>Bob Brooks</t>
        </is>
      </c>
      <c r="D200" s="5" t="inlineStr">
        <is>
          <t>DEM</t>
        </is>
      </c>
      <c r="E200" s="5" t="n"/>
      <c r="F200" s="5" t="n"/>
      <c r="G200" s="5" t="n"/>
      <c r="H200" s="5" t="n"/>
      <c r="I200" s="5" t="n"/>
      <c r="J200" s="5" t="inlineStr">
        <is>
          <t>IA</t>
        </is>
      </c>
      <c r="K200" s="33" t="n">
        <v>800</v>
      </c>
      <c r="L200" s="34" t="n">
        <v>1</v>
      </c>
      <c r="M200" s="5" t="inlineStr">
        <is>
          <t>2026-06-30</t>
        </is>
      </c>
    </row>
    <row r="201">
      <c r="A201" s="5" t="inlineStr">
        <is>
          <t>spending_by_payee_state</t>
        </is>
      </c>
      <c r="B201" s="5" t="n">
        <v>2026</v>
      </c>
      <c r="C201" s="5" t="inlineStr">
        <is>
          <t>Bob Brooks</t>
        </is>
      </c>
      <c r="D201" s="5" t="inlineStr">
        <is>
          <t>DEM</t>
        </is>
      </c>
      <c r="E201" s="5" t="n"/>
      <c r="F201" s="5" t="n"/>
      <c r="G201" s="5" t="n"/>
      <c r="H201" s="5" t="n"/>
      <c r="I201" s="5" t="n"/>
      <c r="J201" s="5" t="inlineStr">
        <is>
          <t>TN</t>
        </is>
      </c>
      <c r="K201" s="33" t="n">
        <v>750</v>
      </c>
      <c r="L201" s="34" t="n">
        <v>1</v>
      </c>
      <c r="M201" s="5" t="inlineStr">
        <is>
          <t>2026-06-30</t>
        </is>
      </c>
    </row>
    <row r="202">
      <c r="A202" s="5" t="inlineStr">
        <is>
          <t>spending_by_payee_state</t>
        </is>
      </c>
      <c r="B202" s="5" t="n">
        <v>2026</v>
      </c>
      <c r="C202" s="5" t="inlineStr">
        <is>
          <t>Bob Brooks</t>
        </is>
      </c>
      <c r="D202" s="5" t="inlineStr">
        <is>
          <t>DEM</t>
        </is>
      </c>
      <c r="E202" s="5" t="n"/>
      <c r="F202" s="5" t="n"/>
      <c r="G202" s="5" t="n"/>
      <c r="H202" s="5" t="n"/>
      <c r="I202" s="5" t="n"/>
      <c r="J202" s="5" t="inlineStr">
        <is>
          <t>CT</t>
        </is>
      </c>
      <c r="K202" s="33" t="n">
        <v>500</v>
      </c>
      <c r="L202" s="34" t="n">
        <v>2</v>
      </c>
      <c r="M202" s="5" t="inlineStr">
        <is>
          <t>2026-06-30</t>
        </is>
      </c>
    </row>
    <row r="203">
      <c r="A203" s="5" t="inlineStr">
        <is>
          <t>spending_by_payee_state</t>
        </is>
      </c>
      <c r="B203" s="5" t="n">
        <v>2026</v>
      </c>
      <c r="C203" s="5" t="inlineStr">
        <is>
          <t>Bob Brooks</t>
        </is>
      </c>
      <c r="D203" s="5" t="inlineStr">
        <is>
          <t>DEM</t>
        </is>
      </c>
      <c r="E203" s="5" t="n"/>
      <c r="F203" s="5" t="n"/>
      <c r="G203" s="5" t="n"/>
      <c r="H203" s="5" t="n"/>
      <c r="I203" s="5" t="n"/>
      <c r="J203" s="5" t="inlineStr">
        <is>
          <t>IN</t>
        </is>
      </c>
      <c r="K203" s="33" t="n">
        <v>450</v>
      </c>
      <c r="L203" s="34" t="n">
        <v>1</v>
      </c>
      <c r="M203" s="5" t="inlineStr">
        <is>
          <t>2026-06-30</t>
        </is>
      </c>
    </row>
    <row r="204">
      <c r="A204" s="5" t="inlineStr">
        <is>
          <t>spending_by_payee_state</t>
        </is>
      </c>
      <c r="B204" s="5" t="n">
        <v>2026</v>
      </c>
      <c r="C204" s="5" t="inlineStr">
        <is>
          <t>Bob Brooks</t>
        </is>
      </c>
      <c r="D204" s="5" t="inlineStr">
        <is>
          <t>DEM</t>
        </is>
      </c>
      <c r="E204" s="5" t="n"/>
      <c r="F204" s="5" t="n"/>
      <c r="G204" s="5" t="n"/>
      <c r="H204" s="5" t="n"/>
      <c r="I204" s="5" t="n"/>
      <c r="J204" s="5" t="inlineStr">
        <is>
          <t>AR</t>
        </is>
      </c>
      <c r="K204" s="33" t="n">
        <v>382.03</v>
      </c>
      <c r="L204" s="34" t="n">
        <v>1</v>
      </c>
      <c r="M204" s="5" t="inlineStr">
        <is>
          <t>2026-06-30</t>
        </is>
      </c>
    </row>
    <row r="205">
      <c r="A205" s="5" t="inlineStr">
        <is>
          <t>spending_by_payee_state</t>
        </is>
      </c>
      <c r="B205" s="5" t="n">
        <v>2026</v>
      </c>
      <c r="C205" s="5" t="inlineStr">
        <is>
          <t>Bob Brooks</t>
        </is>
      </c>
      <c r="D205" s="5" t="inlineStr">
        <is>
          <t>DEM</t>
        </is>
      </c>
      <c r="E205" s="5" t="n"/>
      <c r="F205" s="5" t="n"/>
      <c r="G205" s="5" t="n"/>
      <c r="H205" s="5" t="n"/>
      <c r="I205" s="5" t="n"/>
      <c r="J205" s="5" t="inlineStr">
        <is>
          <t>KY</t>
        </is>
      </c>
      <c r="K205" s="33" t="n">
        <v>307.54</v>
      </c>
      <c r="L205" s="34" t="n">
        <v>2</v>
      </c>
      <c r="M205" s="5" t="inlineStr">
        <is>
          <t>2026-06-30</t>
        </is>
      </c>
    </row>
    <row r="206">
      <c r="A206" s="5" t="inlineStr">
        <is>
          <t>contributions_by_state</t>
        </is>
      </c>
      <c r="B206" s="5" t="n">
        <v>2026</v>
      </c>
      <c r="C206" s="5" t="inlineStr">
        <is>
          <t>Bob Brooks</t>
        </is>
      </c>
      <c r="D206" s="5" t="inlineStr">
        <is>
          <t>DEM</t>
        </is>
      </c>
      <c r="E206" s="5" t="n"/>
      <c r="F206" s="5" t="n"/>
      <c r="G206" s="5" t="n"/>
      <c r="H206" s="5" t="n"/>
      <c r="I206" s="5" t="n"/>
      <c r="J206" s="5" t="inlineStr">
        <is>
          <t>PA</t>
        </is>
      </c>
      <c r="K206" s="33" t="n">
        <v>290329.06</v>
      </c>
      <c r="L206" s="34" t="n">
        <v>687</v>
      </c>
      <c r="M206" s="5" t="inlineStr">
        <is>
          <t>2026-06-30</t>
        </is>
      </c>
    </row>
    <row r="207">
      <c r="A207" s="5" t="inlineStr">
        <is>
          <t>contributions_by_state</t>
        </is>
      </c>
      <c r="B207" s="5" t="n">
        <v>2026</v>
      </c>
      <c r="C207" s="5" t="inlineStr">
        <is>
          <t>Bob Brooks</t>
        </is>
      </c>
      <c r="D207" s="5" t="inlineStr">
        <is>
          <t>DEM</t>
        </is>
      </c>
      <c r="E207" s="5" t="n"/>
      <c r="F207" s="5" t="n"/>
      <c r="G207" s="5" t="n"/>
      <c r="H207" s="5" t="n"/>
      <c r="I207" s="5" t="n"/>
      <c r="J207" s="5" t="inlineStr">
        <is>
          <t>NY</t>
        </is>
      </c>
      <c r="K207" s="33" t="n">
        <v>275445.73</v>
      </c>
      <c r="L207" s="34" t="n">
        <v>206</v>
      </c>
      <c r="M207" s="5" t="inlineStr">
        <is>
          <t>2026-06-30</t>
        </is>
      </c>
    </row>
    <row r="208">
      <c r="A208" s="5" t="inlineStr">
        <is>
          <t>contributions_by_state</t>
        </is>
      </c>
      <c r="B208" s="5" t="n">
        <v>2026</v>
      </c>
      <c r="C208" s="5" t="inlineStr">
        <is>
          <t>Bob Brooks</t>
        </is>
      </c>
      <c r="D208" s="5" t="inlineStr">
        <is>
          <t>DEM</t>
        </is>
      </c>
      <c r="E208" s="5" t="n"/>
      <c r="F208" s="5" t="n"/>
      <c r="G208" s="5" t="n"/>
      <c r="H208" s="5" t="n"/>
      <c r="I208" s="5" t="n"/>
      <c r="J208" s="5" t="inlineStr">
        <is>
          <t>CA</t>
        </is>
      </c>
      <c r="K208" s="33" t="n">
        <v>232104.2</v>
      </c>
      <c r="L208" s="34" t="n">
        <v>317</v>
      </c>
      <c r="M208" s="5" t="inlineStr">
        <is>
          <t>2026-06-30</t>
        </is>
      </c>
    </row>
    <row r="209">
      <c r="A209" s="5" t="inlineStr">
        <is>
          <t>contributions_by_state</t>
        </is>
      </c>
      <c r="B209" s="5" t="n">
        <v>2026</v>
      </c>
      <c r="C209" s="5" t="inlineStr">
        <is>
          <t>Bob Brooks</t>
        </is>
      </c>
      <c r="D209" s="5" t="inlineStr">
        <is>
          <t>DEM</t>
        </is>
      </c>
      <c r="E209" s="5" t="n"/>
      <c r="F209" s="5" t="n"/>
      <c r="G209" s="5" t="n"/>
      <c r="H209" s="5" t="n"/>
      <c r="I209" s="5" t="n"/>
      <c r="J209" s="5" t="inlineStr">
        <is>
          <t>MA</t>
        </is>
      </c>
      <c r="K209" s="33" t="n">
        <v>162959.5</v>
      </c>
      <c r="L209" s="34" t="n">
        <v>254</v>
      </c>
      <c r="M209" s="5" t="inlineStr">
        <is>
          <t>2026-06-30</t>
        </is>
      </c>
    </row>
    <row r="210">
      <c r="A210" s="5" t="inlineStr">
        <is>
          <t>contributions_by_state</t>
        </is>
      </c>
      <c r="B210" s="5" t="n">
        <v>2026</v>
      </c>
      <c r="C210" s="5" t="inlineStr">
        <is>
          <t>Bob Brooks</t>
        </is>
      </c>
      <c r="D210" s="5" t="inlineStr">
        <is>
          <t>DEM</t>
        </is>
      </c>
      <c r="E210" s="5" t="n"/>
      <c r="F210" s="5" t="n"/>
      <c r="G210" s="5" t="n"/>
      <c r="H210" s="5" t="n"/>
      <c r="I210" s="5" t="n"/>
      <c r="J210" s="5" t="inlineStr">
        <is>
          <t>DC</t>
        </is>
      </c>
      <c r="K210" s="33" t="n">
        <v>50799.84</v>
      </c>
      <c r="L210" s="34" t="n">
        <v>70</v>
      </c>
      <c r="M210" s="5" t="inlineStr">
        <is>
          <t>2026-06-30</t>
        </is>
      </c>
    </row>
    <row r="211">
      <c r="A211" s="5" t="inlineStr">
        <is>
          <t>contributions_by_state</t>
        </is>
      </c>
      <c r="B211" s="5" t="n">
        <v>2026</v>
      </c>
      <c r="C211" s="5" t="inlineStr">
        <is>
          <t>Bob Brooks</t>
        </is>
      </c>
      <c r="D211" s="5" t="inlineStr">
        <is>
          <t>DEM</t>
        </is>
      </c>
      <c r="E211" s="5" t="n"/>
      <c r="F211" s="5" t="n"/>
      <c r="G211" s="5" t="n"/>
      <c r="H211" s="5" t="n"/>
      <c r="I211" s="5" t="n"/>
      <c r="J211" s="5" t="inlineStr">
        <is>
          <t>CT</t>
        </is>
      </c>
      <c r="K211" s="33" t="n">
        <v>42688.16</v>
      </c>
      <c r="L211" s="34" t="n">
        <v>41</v>
      </c>
      <c r="M211" s="5" t="inlineStr">
        <is>
          <t>2026-06-30</t>
        </is>
      </c>
    </row>
    <row r="212">
      <c r="A212" s="5" t="inlineStr">
        <is>
          <t>contributions_by_state</t>
        </is>
      </c>
      <c r="B212" s="5" t="n">
        <v>2026</v>
      </c>
      <c r="C212" s="5" t="inlineStr">
        <is>
          <t>Bob Brooks</t>
        </is>
      </c>
      <c r="D212" s="5" t="inlineStr">
        <is>
          <t>DEM</t>
        </is>
      </c>
      <c r="E212" s="5" t="n"/>
      <c r="F212" s="5" t="n"/>
      <c r="G212" s="5" t="n"/>
      <c r="H212" s="5" t="n"/>
      <c r="I212" s="5" t="n"/>
      <c r="J212" s="5" t="inlineStr">
        <is>
          <t>MD</t>
        </is>
      </c>
      <c r="K212" s="33" t="n">
        <v>41642.14</v>
      </c>
      <c r="L212" s="34" t="n">
        <v>81</v>
      </c>
      <c r="M212" s="5" t="inlineStr">
        <is>
          <t>2026-06-30</t>
        </is>
      </c>
    </row>
    <row r="213">
      <c r="A213" s="5" t="inlineStr">
        <is>
          <t>contributions_by_state</t>
        </is>
      </c>
      <c r="B213" s="5" t="n">
        <v>2026</v>
      </c>
      <c r="C213" s="5" t="inlineStr">
        <is>
          <t>Bob Brooks</t>
        </is>
      </c>
      <c r="D213" s="5" t="inlineStr">
        <is>
          <t>DEM</t>
        </is>
      </c>
      <c r="E213" s="5" t="n"/>
      <c r="F213" s="5" t="n"/>
      <c r="G213" s="5" t="n"/>
      <c r="H213" s="5" t="n"/>
      <c r="I213" s="5" t="n"/>
      <c r="J213" s="5" t="inlineStr">
        <is>
          <t>WA</t>
        </is>
      </c>
      <c r="K213" s="33" t="n">
        <v>40327.81</v>
      </c>
      <c r="L213" s="34" t="n">
        <v>46</v>
      </c>
      <c r="M213" s="5" t="inlineStr">
        <is>
          <t>2026-06-30</t>
        </is>
      </c>
    </row>
    <row r="214">
      <c r="A214" s="5" t="inlineStr">
        <is>
          <t>contributions_by_state</t>
        </is>
      </c>
      <c r="B214" s="5" t="n">
        <v>2026</v>
      </c>
      <c r="C214" s="5" t="inlineStr">
        <is>
          <t>Bob Brooks</t>
        </is>
      </c>
      <c r="D214" s="5" t="inlineStr">
        <is>
          <t>DEM</t>
        </is>
      </c>
      <c r="E214" s="5" t="n"/>
      <c r="F214" s="5" t="n"/>
      <c r="G214" s="5" t="n"/>
      <c r="H214" s="5" t="n"/>
      <c r="I214" s="5" t="n"/>
      <c r="J214" s="5" t="inlineStr">
        <is>
          <t>FL</t>
        </is>
      </c>
      <c r="K214" s="33" t="n">
        <v>32808.59</v>
      </c>
      <c r="L214" s="34" t="n">
        <v>42</v>
      </c>
      <c r="M214" s="5" t="inlineStr">
        <is>
          <t>2026-06-30</t>
        </is>
      </c>
    </row>
    <row r="215">
      <c r="A215" s="5" t="inlineStr">
        <is>
          <t>contributions_by_state</t>
        </is>
      </c>
      <c r="B215" s="5" t="n">
        <v>2026</v>
      </c>
      <c r="C215" s="5" t="inlineStr">
        <is>
          <t>Bob Brooks</t>
        </is>
      </c>
      <c r="D215" s="5" t="inlineStr">
        <is>
          <t>DEM</t>
        </is>
      </c>
      <c r="E215" s="5" t="n"/>
      <c r="F215" s="5" t="n"/>
      <c r="G215" s="5" t="n"/>
      <c r="H215" s="5" t="n"/>
      <c r="I215" s="5" t="n"/>
      <c r="J215" s="5" t="inlineStr">
        <is>
          <t>IL</t>
        </is>
      </c>
      <c r="K215" s="33" t="n">
        <v>23197.32</v>
      </c>
      <c r="L215" s="34" t="n">
        <v>43</v>
      </c>
      <c r="M215" s="5" t="inlineStr">
        <is>
          <t>2026-06-30</t>
        </is>
      </c>
    </row>
    <row r="216">
      <c r="A216" s="5" t="inlineStr">
        <is>
          <t>contributions_by_state</t>
        </is>
      </c>
      <c r="B216" s="5" t="n">
        <v>2026</v>
      </c>
      <c r="C216" s="5" t="inlineStr">
        <is>
          <t>Bob Brooks</t>
        </is>
      </c>
      <c r="D216" s="5" t="inlineStr">
        <is>
          <t>DEM</t>
        </is>
      </c>
      <c r="E216" s="5" t="n"/>
      <c r="F216" s="5" t="n"/>
      <c r="G216" s="5" t="n"/>
      <c r="H216" s="5" t="n"/>
      <c r="I216" s="5" t="n"/>
      <c r="J216" s="5" t="inlineStr">
        <is>
          <t>NJ</t>
        </is>
      </c>
      <c r="K216" s="33" t="n">
        <v>20761.76</v>
      </c>
      <c r="L216" s="34" t="n">
        <v>25</v>
      </c>
      <c r="M216" s="5" t="inlineStr">
        <is>
          <t>2026-06-30</t>
        </is>
      </c>
    </row>
    <row r="217">
      <c r="A217" s="5" t="inlineStr">
        <is>
          <t>contributions_by_state</t>
        </is>
      </c>
      <c r="B217" s="5" t="n">
        <v>2026</v>
      </c>
      <c r="C217" s="5" t="inlineStr">
        <is>
          <t>Bob Brooks</t>
        </is>
      </c>
      <c r="D217" s="5" t="inlineStr">
        <is>
          <t>DEM</t>
        </is>
      </c>
      <c r="E217" s="5" t="n"/>
      <c r="F217" s="5" t="n"/>
      <c r="G217" s="5" t="n"/>
      <c r="H217" s="5" t="n"/>
      <c r="I217" s="5" t="n"/>
      <c r="J217" s="5" t="inlineStr">
        <is>
          <t>TX</t>
        </is>
      </c>
      <c r="K217" s="33" t="n">
        <v>16950</v>
      </c>
      <c r="L217" s="34" t="n">
        <v>14</v>
      </c>
      <c r="M217" s="5" t="inlineStr">
        <is>
          <t>2026-06-30</t>
        </is>
      </c>
    </row>
    <row r="218">
      <c r="A218" s="5" t="inlineStr">
        <is>
          <t>contributions_by_state</t>
        </is>
      </c>
      <c r="B218" s="5" t="n">
        <v>2026</v>
      </c>
      <c r="C218" s="5" t="inlineStr">
        <is>
          <t>Bob Brooks</t>
        </is>
      </c>
      <c r="D218" s="5" t="inlineStr">
        <is>
          <t>DEM</t>
        </is>
      </c>
      <c r="E218" s="5" t="n"/>
      <c r="F218" s="5" t="n"/>
      <c r="G218" s="5" t="n"/>
      <c r="H218" s="5" t="n"/>
      <c r="I218" s="5" t="n"/>
      <c r="J218" s="5" t="inlineStr">
        <is>
          <t>VA</t>
        </is>
      </c>
      <c r="K218" s="33" t="n">
        <v>14884.19</v>
      </c>
      <c r="L218" s="34" t="n">
        <v>72</v>
      </c>
      <c r="M218" s="5" t="inlineStr">
        <is>
          <t>2026-06-30</t>
        </is>
      </c>
    </row>
    <row r="219">
      <c r="A219" s="5" t="inlineStr">
        <is>
          <t>contributions_by_state</t>
        </is>
      </c>
      <c r="B219" s="5" t="n">
        <v>2026</v>
      </c>
      <c r="C219" s="5" t="inlineStr">
        <is>
          <t>Bob Brooks</t>
        </is>
      </c>
      <c r="D219" s="5" t="inlineStr">
        <is>
          <t>DEM</t>
        </is>
      </c>
      <c r="E219" s="5" t="n"/>
      <c r="F219" s="5" t="n"/>
      <c r="G219" s="5" t="n"/>
      <c r="H219" s="5" t="n"/>
      <c r="I219" s="5" t="n"/>
      <c r="J219" s="5" t="inlineStr">
        <is>
          <t>GA</t>
        </is>
      </c>
      <c r="K219" s="33" t="n">
        <v>12000</v>
      </c>
      <c r="L219" s="34" t="n">
        <v>5</v>
      </c>
      <c r="M219" s="5" t="inlineStr">
        <is>
          <t>2026-06-30</t>
        </is>
      </c>
    </row>
    <row r="220">
      <c r="A220" s="5" t="inlineStr">
        <is>
          <t>contributions_by_state</t>
        </is>
      </c>
      <c r="B220" s="5" t="n">
        <v>2026</v>
      </c>
      <c r="C220" s="5" t="inlineStr">
        <is>
          <t>Bob Brooks</t>
        </is>
      </c>
      <c r="D220" s="5" t="inlineStr">
        <is>
          <t>DEM</t>
        </is>
      </c>
      <c r="E220" s="5" t="n"/>
      <c r="F220" s="5" t="n"/>
      <c r="G220" s="5" t="n"/>
      <c r="H220" s="5" t="n"/>
      <c r="I220" s="5" t="n"/>
      <c r="J220" s="5" t="inlineStr">
        <is>
          <t>MN</t>
        </is>
      </c>
      <c r="K220" s="33" t="n">
        <v>11939.33</v>
      </c>
      <c r="L220" s="34" t="n">
        <v>25</v>
      </c>
      <c r="M220" s="5" t="inlineStr">
        <is>
          <t>2026-06-30</t>
        </is>
      </c>
    </row>
    <row r="221">
      <c r="A221" s="5" t="inlineStr">
        <is>
          <t>contributions_by_state</t>
        </is>
      </c>
      <c r="B221" s="5" t="n">
        <v>2026</v>
      </c>
      <c r="C221" s="5" t="inlineStr">
        <is>
          <t>Bob Brooks</t>
        </is>
      </c>
      <c r="D221" s="5" t="inlineStr">
        <is>
          <t>DEM</t>
        </is>
      </c>
      <c r="E221" s="5" t="n"/>
      <c r="F221" s="5" t="n"/>
      <c r="G221" s="5" t="n"/>
      <c r="H221" s="5" t="n"/>
      <c r="I221" s="5" t="n"/>
      <c r="J221" s="5" t="inlineStr">
        <is>
          <t>OR</t>
        </is>
      </c>
      <c r="K221" s="33" t="n">
        <v>10200</v>
      </c>
      <c r="L221" s="34" t="n">
        <v>25</v>
      </c>
      <c r="M221" s="5" t="inlineStr">
        <is>
          <t>2026-06-30</t>
        </is>
      </c>
    </row>
    <row r="222">
      <c r="A222" s="5" t="inlineStr">
        <is>
          <t>contributions_by_state</t>
        </is>
      </c>
      <c r="B222" s="5" t="n">
        <v>2026</v>
      </c>
      <c r="C222" s="5" t="inlineStr">
        <is>
          <t>Bob Brooks</t>
        </is>
      </c>
      <c r="D222" s="5" t="inlineStr">
        <is>
          <t>DEM</t>
        </is>
      </c>
      <c r="E222" s="5" t="n"/>
      <c r="F222" s="5" t="n"/>
      <c r="G222" s="5" t="n"/>
      <c r="H222" s="5" t="n"/>
      <c r="I222" s="5" t="n"/>
      <c r="J222" s="5" t="inlineStr">
        <is>
          <t>NH</t>
        </is>
      </c>
      <c r="K222" s="33" t="n">
        <v>8530</v>
      </c>
      <c r="L222" s="34" t="n">
        <v>8</v>
      </c>
      <c r="M222" s="5" t="inlineStr">
        <is>
          <t>2026-06-30</t>
        </is>
      </c>
    </row>
    <row r="223">
      <c r="A223" s="5" t="inlineStr">
        <is>
          <t>contributions_by_state</t>
        </is>
      </c>
      <c r="B223" s="5" t="n">
        <v>2026</v>
      </c>
      <c r="C223" s="5" t="inlineStr">
        <is>
          <t>Bob Brooks</t>
        </is>
      </c>
      <c r="D223" s="5" t="inlineStr">
        <is>
          <t>DEM</t>
        </is>
      </c>
      <c r="E223" s="5" t="n"/>
      <c r="F223" s="5" t="n"/>
      <c r="G223" s="5" t="n"/>
      <c r="H223" s="5" t="n"/>
      <c r="I223" s="5" t="n"/>
      <c r="J223" s="5" t="inlineStr">
        <is>
          <t>CO</t>
        </is>
      </c>
      <c r="K223" s="33" t="n">
        <v>7371.65</v>
      </c>
      <c r="L223" s="34" t="n">
        <v>45</v>
      </c>
      <c r="M223" s="5" t="inlineStr">
        <is>
          <t>2026-06-30</t>
        </is>
      </c>
    </row>
    <row r="224">
      <c r="A224" s="5" t="inlineStr">
        <is>
          <t>contributions_by_state</t>
        </is>
      </c>
      <c r="B224" s="5" t="n">
        <v>2026</v>
      </c>
      <c r="C224" s="5" t="inlineStr">
        <is>
          <t>Bob Brooks</t>
        </is>
      </c>
      <c r="D224" s="5" t="inlineStr">
        <is>
          <t>DEM</t>
        </is>
      </c>
      <c r="E224" s="5" t="n"/>
      <c r="F224" s="5" t="n"/>
      <c r="G224" s="5" t="n"/>
      <c r="H224" s="5" t="n"/>
      <c r="I224" s="5" t="n"/>
      <c r="J224" s="5" t="inlineStr">
        <is>
          <t>KY</t>
        </is>
      </c>
      <c r="K224" s="33" t="n">
        <v>7250</v>
      </c>
      <c r="L224" s="34" t="n">
        <v>3</v>
      </c>
      <c r="M224" s="5" t="inlineStr">
        <is>
          <t>2026-06-30</t>
        </is>
      </c>
    </row>
    <row r="225">
      <c r="A225" s="5" t="inlineStr">
        <is>
          <t>contributions_by_state</t>
        </is>
      </c>
      <c r="B225" s="5" t="n">
        <v>2026</v>
      </c>
      <c r="C225" s="5" t="inlineStr">
        <is>
          <t>Bob Brooks</t>
        </is>
      </c>
      <c r="D225" s="5" t="inlineStr">
        <is>
          <t>DEM</t>
        </is>
      </c>
      <c r="E225" s="5" t="n"/>
      <c r="F225" s="5" t="n"/>
      <c r="G225" s="5" t="n"/>
      <c r="H225" s="5" t="n"/>
      <c r="I225" s="5" t="n"/>
      <c r="J225" s="5" t="inlineStr">
        <is>
          <t>PR</t>
        </is>
      </c>
      <c r="K225" s="33" t="n">
        <v>7000</v>
      </c>
      <c r="L225" s="34" t="n">
        <v>2</v>
      </c>
      <c r="M225" s="5" t="inlineStr">
        <is>
          <t>2026-06-30</t>
        </is>
      </c>
    </row>
    <row r="226">
      <c r="A226" s="5" t="inlineStr">
        <is>
          <t>contributions_by_state</t>
        </is>
      </c>
      <c r="B226" s="5" t="n">
        <v>2026</v>
      </c>
      <c r="C226" s="5" t="inlineStr">
        <is>
          <t>Bob Brooks</t>
        </is>
      </c>
      <c r="D226" s="5" t="inlineStr">
        <is>
          <t>DEM</t>
        </is>
      </c>
      <c r="E226" s="5" t="n"/>
      <c r="F226" s="5" t="n"/>
      <c r="G226" s="5" t="n"/>
      <c r="H226" s="5" t="n"/>
      <c r="I226" s="5" t="n"/>
      <c r="J226" s="5" t="inlineStr">
        <is>
          <t>IN</t>
        </is>
      </c>
      <c r="K226" s="33" t="n">
        <v>5898.28</v>
      </c>
      <c r="L226" s="34" t="n">
        <v>9</v>
      </c>
      <c r="M226" s="5" t="inlineStr">
        <is>
          <t>2026-06-30</t>
        </is>
      </c>
    </row>
    <row r="227">
      <c r="A227" s="5" t="inlineStr">
        <is>
          <t>contributions_by_state</t>
        </is>
      </c>
      <c r="B227" s="5" t="n">
        <v>2026</v>
      </c>
      <c r="C227" s="5" t="inlineStr">
        <is>
          <t>Bob Brooks</t>
        </is>
      </c>
      <c r="D227" s="5" t="inlineStr">
        <is>
          <t>DEM</t>
        </is>
      </c>
      <c r="E227" s="5" t="n"/>
      <c r="F227" s="5" t="n"/>
      <c r="G227" s="5" t="n"/>
      <c r="H227" s="5" t="n"/>
      <c r="I227" s="5" t="n"/>
      <c r="J227" s="5" t="inlineStr">
        <is>
          <t>OH</t>
        </is>
      </c>
      <c r="K227" s="33" t="n">
        <v>5350</v>
      </c>
      <c r="L227" s="34" t="n">
        <v>5</v>
      </c>
      <c r="M227" s="5" t="inlineStr">
        <is>
          <t>2026-06-30</t>
        </is>
      </c>
    </row>
    <row r="228">
      <c r="A228" s="5" t="inlineStr">
        <is>
          <t>contributions_by_state</t>
        </is>
      </c>
      <c r="B228" s="5" t="n">
        <v>2026</v>
      </c>
      <c r="C228" s="5" t="inlineStr">
        <is>
          <t>Bob Brooks</t>
        </is>
      </c>
      <c r="D228" s="5" t="inlineStr">
        <is>
          <t>DEM</t>
        </is>
      </c>
      <c r="E228" s="5" t="n"/>
      <c r="F228" s="5" t="n"/>
      <c r="G228" s="5" t="n"/>
      <c r="H228" s="5" t="n"/>
      <c r="I228" s="5" t="n"/>
      <c r="J228" s="5" t="inlineStr">
        <is>
          <t>UT</t>
        </is>
      </c>
      <c r="K228" s="33" t="n">
        <v>4250</v>
      </c>
      <c r="L228" s="34" t="n">
        <v>4</v>
      </c>
      <c r="M228" s="5" t="inlineStr">
        <is>
          <t>2026-06-30</t>
        </is>
      </c>
    </row>
    <row r="229">
      <c r="A229" s="5" t="inlineStr">
        <is>
          <t>contributions_by_state</t>
        </is>
      </c>
      <c r="B229" s="5" t="n">
        <v>2026</v>
      </c>
      <c r="C229" s="5" t="inlineStr">
        <is>
          <t>Bob Brooks</t>
        </is>
      </c>
      <c r="D229" s="5" t="inlineStr">
        <is>
          <t>DEM</t>
        </is>
      </c>
      <c r="E229" s="5" t="n"/>
      <c r="F229" s="5" t="n"/>
      <c r="G229" s="5" t="n"/>
      <c r="H229" s="5" t="n"/>
      <c r="I229" s="5" t="n"/>
      <c r="J229" s="5" t="inlineStr">
        <is>
          <t>MT</t>
        </is>
      </c>
      <c r="K229" s="33" t="n">
        <v>3750</v>
      </c>
      <c r="L229" s="34" t="n">
        <v>2</v>
      </c>
      <c r="M229" s="5" t="inlineStr">
        <is>
          <t>2026-06-30</t>
        </is>
      </c>
    </row>
    <row r="230">
      <c r="A230" s="5" t="inlineStr">
        <is>
          <t>contributions_by_state</t>
        </is>
      </c>
      <c r="B230" s="5" t="n">
        <v>2026</v>
      </c>
      <c r="C230" s="5" t="inlineStr">
        <is>
          <t>Bob Brooks</t>
        </is>
      </c>
      <c r="D230" s="5" t="inlineStr">
        <is>
          <t>DEM</t>
        </is>
      </c>
      <c r="E230" s="5" t="n"/>
      <c r="F230" s="5" t="n"/>
      <c r="G230" s="5" t="n"/>
      <c r="H230" s="5" t="n"/>
      <c r="I230" s="5" t="n"/>
      <c r="J230" s="5" t="inlineStr">
        <is>
          <t>AZ</t>
        </is>
      </c>
      <c r="K230" s="33" t="n">
        <v>3463.66</v>
      </c>
      <c r="L230" s="34" t="n">
        <v>11</v>
      </c>
      <c r="M230" s="5" t="inlineStr">
        <is>
          <t>2026-06-30</t>
        </is>
      </c>
    </row>
    <row r="231">
      <c r="A231" s="5" t="inlineStr">
        <is>
          <t>contributions_by_state</t>
        </is>
      </c>
      <c r="B231" s="5" t="n">
        <v>2026</v>
      </c>
      <c r="C231" s="5" t="inlineStr">
        <is>
          <t>Bob Brooks</t>
        </is>
      </c>
      <c r="D231" s="5" t="inlineStr">
        <is>
          <t>DEM</t>
        </is>
      </c>
      <c r="E231" s="5" t="n"/>
      <c r="F231" s="5" t="n"/>
      <c r="G231" s="5" t="n"/>
      <c r="H231" s="5" t="n"/>
      <c r="I231" s="5" t="n"/>
      <c r="J231" s="5" t="inlineStr">
        <is>
          <t>DE</t>
        </is>
      </c>
      <c r="K231" s="33" t="n">
        <v>3250</v>
      </c>
      <c r="L231" s="34" t="n">
        <v>5</v>
      </c>
      <c r="M231" s="5" t="inlineStr">
        <is>
          <t>2026-06-30</t>
        </is>
      </c>
    </row>
    <row r="232">
      <c r="A232" s="5" t="inlineStr">
        <is>
          <t>contributions_by_state</t>
        </is>
      </c>
      <c r="B232" s="5" t="n">
        <v>2026</v>
      </c>
      <c r="C232" s="5" t="inlineStr">
        <is>
          <t>Bob Brooks</t>
        </is>
      </c>
      <c r="D232" s="5" t="inlineStr">
        <is>
          <t>DEM</t>
        </is>
      </c>
      <c r="E232" s="5" t="n"/>
      <c r="F232" s="5" t="n"/>
      <c r="G232" s="5" t="n"/>
      <c r="H232" s="5" t="n"/>
      <c r="I232" s="5" t="n"/>
      <c r="J232" s="5" t="inlineStr">
        <is>
          <t>NC</t>
        </is>
      </c>
      <c r="K232" s="33" t="n">
        <v>3203.5</v>
      </c>
      <c r="L232" s="34" t="n">
        <v>10</v>
      </c>
      <c r="M232" s="5" t="inlineStr">
        <is>
          <t>2026-06-30</t>
        </is>
      </c>
    </row>
    <row r="233">
      <c r="A233" s="5" t="inlineStr">
        <is>
          <t>contributions_by_state</t>
        </is>
      </c>
      <c r="B233" s="5" t="n">
        <v>2026</v>
      </c>
      <c r="C233" s="5" t="inlineStr">
        <is>
          <t>Bob Brooks</t>
        </is>
      </c>
      <c r="D233" s="5" t="inlineStr">
        <is>
          <t>DEM</t>
        </is>
      </c>
      <c r="E233" s="5" t="n"/>
      <c r="F233" s="5" t="n"/>
      <c r="G233" s="5" t="n"/>
      <c r="H233" s="5" t="n"/>
      <c r="I233" s="5" t="n"/>
      <c r="J233" s="5" t="inlineStr">
        <is>
          <t>KS</t>
        </is>
      </c>
      <c r="K233" s="33" t="n">
        <v>3100</v>
      </c>
      <c r="L233" s="34" t="n">
        <v>3</v>
      </c>
      <c r="M233" s="5" t="inlineStr">
        <is>
          <t>2026-06-30</t>
        </is>
      </c>
    </row>
    <row r="234">
      <c r="A234" s="5" t="inlineStr">
        <is>
          <t>contributions_by_state</t>
        </is>
      </c>
      <c r="B234" s="5" t="n">
        <v>2026</v>
      </c>
      <c r="C234" s="5" t="inlineStr">
        <is>
          <t>Bob Brooks</t>
        </is>
      </c>
      <c r="D234" s="5" t="inlineStr">
        <is>
          <t>DEM</t>
        </is>
      </c>
      <c r="E234" s="5" t="n"/>
      <c r="F234" s="5" t="n"/>
      <c r="G234" s="5" t="n"/>
      <c r="H234" s="5" t="n"/>
      <c r="I234" s="5" t="n"/>
      <c r="J234" s="5" t="inlineStr">
        <is>
          <t>OK</t>
        </is>
      </c>
      <c r="K234" s="33" t="n">
        <v>3000</v>
      </c>
      <c r="L234" s="34" t="n">
        <v>8</v>
      </c>
      <c r="M234" s="5" t="inlineStr">
        <is>
          <t>2026-06-30</t>
        </is>
      </c>
    </row>
    <row r="235">
      <c r="A235" s="5" t="inlineStr">
        <is>
          <t>contributions_by_state</t>
        </is>
      </c>
      <c r="B235" s="5" t="n">
        <v>2026</v>
      </c>
      <c r="C235" s="5" t="inlineStr">
        <is>
          <t>Bob Brooks</t>
        </is>
      </c>
      <c r="D235" s="5" t="inlineStr">
        <is>
          <t>DEM</t>
        </is>
      </c>
      <c r="E235" s="5" t="n"/>
      <c r="F235" s="5" t="n"/>
      <c r="G235" s="5" t="n"/>
      <c r="H235" s="5" t="n"/>
      <c r="I235" s="5" t="n"/>
      <c r="J235" s="5" t="inlineStr">
        <is>
          <t>AK</t>
        </is>
      </c>
      <c r="K235" s="33" t="n">
        <v>2250</v>
      </c>
      <c r="L235" s="34" t="n">
        <v>2</v>
      </c>
      <c r="M235" s="5" t="inlineStr">
        <is>
          <t>2026-06-30</t>
        </is>
      </c>
    </row>
    <row r="236">
      <c r="A236" s="5" t="inlineStr">
        <is>
          <t>contributions_by_state</t>
        </is>
      </c>
      <c r="B236" s="5" t="n">
        <v>2026</v>
      </c>
      <c r="C236" s="5" t="inlineStr">
        <is>
          <t>Bob Brooks</t>
        </is>
      </c>
      <c r="D236" s="5" t="inlineStr">
        <is>
          <t>DEM</t>
        </is>
      </c>
      <c r="E236" s="5" t="n"/>
      <c r="F236" s="5" t="n"/>
      <c r="G236" s="5" t="n"/>
      <c r="H236" s="5" t="n"/>
      <c r="I236" s="5" t="n"/>
      <c r="J236" s="5" t="inlineStr">
        <is>
          <t>SC</t>
        </is>
      </c>
      <c r="K236" s="33" t="n">
        <v>2202.5</v>
      </c>
      <c r="L236" s="34" t="n">
        <v>8</v>
      </c>
      <c r="M236" s="5" t="inlineStr">
        <is>
          <t>2026-06-30</t>
        </is>
      </c>
    </row>
    <row r="237">
      <c r="A237" s="5" t="inlineStr">
        <is>
          <t>contributions_by_state</t>
        </is>
      </c>
      <c r="B237" s="5" t="n">
        <v>2026</v>
      </c>
      <c r="C237" s="5" t="inlineStr">
        <is>
          <t>Bob Brooks</t>
        </is>
      </c>
      <c r="D237" s="5" t="inlineStr">
        <is>
          <t>DEM</t>
        </is>
      </c>
      <c r="E237" s="5" t="n"/>
      <c r="F237" s="5" t="n"/>
      <c r="G237" s="5" t="n"/>
      <c r="H237" s="5" t="n"/>
      <c r="I237" s="5" t="n"/>
      <c r="J237" s="5" t="inlineStr">
        <is>
          <t>VT</t>
        </is>
      </c>
      <c r="K237" s="33" t="n">
        <v>2125</v>
      </c>
      <c r="L237" s="34" t="n">
        <v>10</v>
      </c>
      <c r="M237" s="5" t="inlineStr">
        <is>
          <t>2026-06-30</t>
        </is>
      </c>
    </row>
    <row r="238">
      <c r="A238" s="5" t="inlineStr">
        <is>
          <t>contributions_by_state</t>
        </is>
      </c>
      <c r="B238" s="5" t="n">
        <v>2026</v>
      </c>
      <c r="C238" s="5" t="inlineStr">
        <is>
          <t>Bob Brooks</t>
        </is>
      </c>
      <c r="D238" s="5" t="inlineStr">
        <is>
          <t>DEM</t>
        </is>
      </c>
      <c r="E238" s="5" t="n"/>
      <c r="F238" s="5" t="n"/>
      <c r="G238" s="5" t="n"/>
      <c r="H238" s="5" t="n"/>
      <c r="I238" s="5" t="n"/>
      <c r="J238" s="5" t="inlineStr">
        <is>
          <t>RI</t>
        </is>
      </c>
      <c r="K238" s="33" t="n">
        <v>1850</v>
      </c>
      <c r="L238" s="34" t="n">
        <v>7</v>
      </c>
      <c r="M238" s="5" t="inlineStr">
        <is>
          <t>2026-06-30</t>
        </is>
      </c>
    </row>
    <row r="239">
      <c r="A239" s="5" t="inlineStr">
        <is>
          <t>contributions_by_state</t>
        </is>
      </c>
      <c r="B239" s="5" t="n">
        <v>2026</v>
      </c>
      <c r="C239" s="5" t="inlineStr">
        <is>
          <t>Bob Brooks</t>
        </is>
      </c>
      <c r="D239" s="5" t="inlineStr">
        <is>
          <t>DEM</t>
        </is>
      </c>
      <c r="E239" s="5" t="n"/>
      <c r="F239" s="5" t="n"/>
      <c r="G239" s="5" t="n"/>
      <c r="H239" s="5" t="n"/>
      <c r="I239" s="5" t="n"/>
      <c r="J239" s="5" t="inlineStr">
        <is>
          <t>WI</t>
        </is>
      </c>
      <c r="K239" s="33" t="n">
        <v>1755</v>
      </c>
      <c r="L239" s="34" t="n">
        <v>15</v>
      </c>
      <c r="M239" s="5" t="inlineStr">
        <is>
          <t>2026-06-30</t>
        </is>
      </c>
    </row>
    <row r="240">
      <c r="A240" s="5" t="inlineStr">
        <is>
          <t>contributions_by_state</t>
        </is>
      </c>
      <c r="B240" s="5" t="n">
        <v>2026</v>
      </c>
      <c r="C240" s="5" t="inlineStr">
        <is>
          <t>Bob Brooks</t>
        </is>
      </c>
      <c r="D240" s="5" t="inlineStr">
        <is>
          <t>DEM</t>
        </is>
      </c>
      <c r="E240" s="5" t="n"/>
      <c r="F240" s="5" t="n"/>
      <c r="G240" s="5" t="n"/>
      <c r="H240" s="5" t="n"/>
      <c r="I240" s="5" t="n"/>
      <c r="J240" s="5" t="inlineStr">
        <is>
          <t>MO</t>
        </is>
      </c>
      <c r="K240" s="33" t="n">
        <v>1752.39</v>
      </c>
      <c r="L240" s="34" t="n">
        <v>5</v>
      </c>
      <c r="M240" s="5" t="inlineStr">
        <is>
          <t>2026-06-30</t>
        </is>
      </c>
    </row>
    <row r="241">
      <c r="A241" s="5" t="inlineStr">
        <is>
          <t>contributions_by_state</t>
        </is>
      </c>
      <c r="B241" s="5" t="n">
        <v>2026</v>
      </c>
      <c r="C241" s="5" t="inlineStr">
        <is>
          <t>Bob Brooks</t>
        </is>
      </c>
      <c r="D241" s="5" t="inlineStr">
        <is>
          <t>DEM</t>
        </is>
      </c>
      <c r="E241" s="5" t="n"/>
      <c r="F241" s="5" t="n"/>
      <c r="G241" s="5" t="n"/>
      <c r="H241" s="5" t="n"/>
      <c r="I241" s="5" t="n"/>
      <c r="J241" s="5" t="inlineStr">
        <is>
          <t>ME</t>
        </is>
      </c>
      <c r="K241" s="33" t="n">
        <v>1437.5</v>
      </c>
      <c r="L241" s="34" t="n">
        <v>6</v>
      </c>
      <c r="M241" s="5" t="inlineStr">
        <is>
          <t>2026-06-30</t>
        </is>
      </c>
    </row>
    <row r="242">
      <c r="A242" s="5" t="inlineStr">
        <is>
          <t>contributions_by_state</t>
        </is>
      </c>
      <c r="B242" s="5" t="n">
        <v>2026</v>
      </c>
      <c r="C242" s="5" t="inlineStr">
        <is>
          <t>Bob Brooks</t>
        </is>
      </c>
      <c r="D242" s="5" t="inlineStr">
        <is>
          <t>DEM</t>
        </is>
      </c>
      <c r="E242" s="5" t="n"/>
      <c r="F242" s="5" t="n"/>
      <c r="G242" s="5" t="n"/>
      <c r="H242" s="5" t="n"/>
      <c r="I242" s="5" t="n"/>
      <c r="J242" s="5" t="inlineStr">
        <is>
          <t>MI</t>
        </is>
      </c>
      <c r="K242" s="33" t="n">
        <v>1150</v>
      </c>
      <c r="L242" s="34" t="n">
        <v>8</v>
      </c>
      <c r="M242" s="5" t="inlineStr">
        <is>
          <t>2026-06-30</t>
        </is>
      </c>
    </row>
    <row r="243">
      <c r="A243" s="5" t="inlineStr">
        <is>
          <t>contributions_by_state</t>
        </is>
      </c>
      <c r="B243" s="5" t="n">
        <v>2026</v>
      </c>
      <c r="C243" s="5" t="inlineStr">
        <is>
          <t>Bob Brooks</t>
        </is>
      </c>
      <c r="D243" s="5" t="inlineStr">
        <is>
          <t>DEM</t>
        </is>
      </c>
      <c r="E243" s="5" t="n"/>
      <c r="F243" s="5" t="n"/>
      <c r="G243" s="5" t="n"/>
      <c r="H243" s="5" t="n"/>
      <c r="I243" s="5" t="n"/>
      <c r="J243" s="5" t="inlineStr">
        <is>
          <t>WY</t>
        </is>
      </c>
      <c r="K243" s="33" t="n">
        <v>683.34</v>
      </c>
      <c r="L243" s="34" t="n">
        <v>5</v>
      </c>
      <c r="M243" s="5" t="inlineStr">
        <is>
          <t>2026-06-30</t>
        </is>
      </c>
    </row>
    <row r="244">
      <c r="A244" s="5" t="inlineStr">
        <is>
          <t>contributions_by_state</t>
        </is>
      </c>
      <c r="B244" s="5" t="n">
        <v>2026</v>
      </c>
      <c r="C244" s="5" t="inlineStr">
        <is>
          <t>Bob Brooks</t>
        </is>
      </c>
      <c r="D244" s="5" t="inlineStr">
        <is>
          <t>DEM</t>
        </is>
      </c>
      <c r="E244" s="5" t="n"/>
      <c r="F244" s="5" t="n"/>
      <c r="G244" s="5" t="n"/>
      <c r="H244" s="5" t="n"/>
      <c r="I244" s="5" t="n"/>
      <c r="J244" s="5" t="inlineStr">
        <is>
          <t>NE</t>
        </is>
      </c>
      <c r="K244" s="33" t="n">
        <v>500</v>
      </c>
      <c r="L244" s="34" t="n">
        <v>1</v>
      </c>
      <c r="M244" s="5" t="inlineStr">
        <is>
          <t>2026-06-30</t>
        </is>
      </c>
    </row>
    <row r="245">
      <c r="A245" s="5" t="inlineStr">
        <is>
          <t>contributions_by_state</t>
        </is>
      </c>
      <c r="B245" s="5" t="n">
        <v>2026</v>
      </c>
      <c r="C245" s="5" t="inlineStr">
        <is>
          <t>Bob Brooks</t>
        </is>
      </c>
      <c r="D245" s="5" t="inlineStr">
        <is>
          <t>DEM</t>
        </is>
      </c>
      <c r="E245" s="5" t="n"/>
      <c r="F245" s="5" t="n"/>
      <c r="G245" s="5" t="n"/>
      <c r="H245" s="5" t="n"/>
      <c r="I245" s="5" t="n"/>
      <c r="J245" s="5" t="inlineStr">
        <is>
          <t>HI</t>
        </is>
      </c>
      <c r="K245" s="33" t="n">
        <v>335.71</v>
      </c>
      <c r="L245" s="34" t="n">
        <v>3</v>
      </c>
      <c r="M245" s="5" t="inlineStr">
        <is>
          <t>2026-06-30</t>
        </is>
      </c>
    </row>
    <row r="246">
      <c r="A246" s="5" t="inlineStr">
        <is>
          <t>contributions_by_state</t>
        </is>
      </c>
      <c r="B246" s="5" t="n">
        <v>2026</v>
      </c>
      <c r="C246" s="5" t="inlineStr">
        <is>
          <t>Bob Brooks</t>
        </is>
      </c>
      <c r="D246" s="5" t="inlineStr">
        <is>
          <t>DEM</t>
        </is>
      </c>
      <c r="E246" s="5" t="n"/>
      <c r="F246" s="5" t="n"/>
      <c r="G246" s="5" t="n"/>
      <c r="H246" s="5" t="n"/>
      <c r="I246" s="5" t="n"/>
      <c r="J246" s="5" t="inlineStr">
        <is>
          <t>IA</t>
        </is>
      </c>
      <c r="K246" s="33" t="n">
        <v>310</v>
      </c>
      <c r="L246" s="34" t="n">
        <v>4</v>
      </c>
      <c r="M246" s="5" t="inlineStr">
        <is>
          <t>2026-06-30</t>
        </is>
      </c>
    </row>
    <row r="247">
      <c r="A247" s="5" t="inlineStr">
        <is>
          <t>contributions_by_state</t>
        </is>
      </c>
      <c r="B247" s="5" t="n">
        <v>2026</v>
      </c>
      <c r="C247" s="5" t="inlineStr">
        <is>
          <t>Bob Brooks</t>
        </is>
      </c>
      <c r="D247" s="5" t="inlineStr">
        <is>
          <t>DEM</t>
        </is>
      </c>
      <c r="E247" s="5" t="n"/>
      <c r="F247" s="5" t="n"/>
      <c r="G247" s="5" t="n"/>
      <c r="H247" s="5" t="n"/>
      <c r="I247" s="5" t="n"/>
      <c r="J247" s="5" t="inlineStr">
        <is>
          <t>VI</t>
        </is>
      </c>
      <c r="K247" s="33" t="n">
        <v>300</v>
      </c>
      <c r="L247" s="34" t="n">
        <v>3</v>
      </c>
      <c r="M247" s="5" t="inlineStr">
        <is>
          <t>2026-06-30</t>
        </is>
      </c>
    </row>
    <row r="248">
      <c r="A248" s="5" t="inlineStr">
        <is>
          <t>contributions_by_state</t>
        </is>
      </c>
      <c r="B248" s="5" t="n">
        <v>2026</v>
      </c>
      <c r="C248" s="5" t="inlineStr">
        <is>
          <t>Bob Brooks</t>
        </is>
      </c>
      <c r="D248" s="5" t="inlineStr">
        <is>
          <t>DEM</t>
        </is>
      </c>
      <c r="E248" s="5" t="n"/>
      <c r="F248" s="5" t="n"/>
      <c r="G248" s="5" t="n"/>
      <c r="H248" s="5" t="n"/>
      <c r="I248" s="5" t="n"/>
      <c r="J248" s="5" t="inlineStr">
        <is>
          <t>NV</t>
        </is>
      </c>
      <c r="K248" s="33" t="n">
        <v>250</v>
      </c>
      <c r="L248" s="34" t="n">
        <v>1</v>
      </c>
      <c r="M248" s="5" t="inlineStr">
        <is>
          <t>2026-06-30</t>
        </is>
      </c>
    </row>
    <row r="249">
      <c r="A249" s="5" t="inlineStr">
        <is>
          <t>contributions_by_state</t>
        </is>
      </c>
      <c r="B249" s="5" t="n">
        <v>2026</v>
      </c>
      <c r="C249" s="5" t="inlineStr">
        <is>
          <t>Bob Brooks</t>
        </is>
      </c>
      <c r="D249" s="5" t="inlineStr">
        <is>
          <t>DEM</t>
        </is>
      </c>
      <c r="E249" s="5" t="n"/>
      <c r="F249" s="5" t="n"/>
      <c r="G249" s="5" t="n"/>
      <c r="H249" s="5" t="n"/>
      <c r="I249" s="5" t="n"/>
      <c r="J249" s="5" t="inlineStr">
        <is>
          <t>MS</t>
        </is>
      </c>
      <c r="K249" s="33" t="n">
        <v>250</v>
      </c>
      <c r="L249" s="34" t="n">
        <v>1</v>
      </c>
      <c r="M249" s="5" t="inlineStr">
        <is>
          <t>2026-06-30</t>
        </is>
      </c>
    </row>
    <row r="250">
      <c r="A250" s="5" t="inlineStr">
        <is>
          <t>contributions_by_state</t>
        </is>
      </c>
      <c r="B250" s="5" t="n">
        <v>2026</v>
      </c>
      <c r="C250" s="5" t="inlineStr">
        <is>
          <t>Bob Brooks</t>
        </is>
      </c>
      <c r="D250" s="5" t="inlineStr">
        <is>
          <t>DEM</t>
        </is>
      </c>
      <c r="E250" s="5" t="n"/>
      <c r="F250" s="5" t="n"/>
      <c r="G250" s="5" t="n"/>
      <c r="H250" s="5" t="n"/>
      <c r="I250" s="5" t="n"/>
      <c r="J250" s="5" t="inlineStr">
        <is>
          <t>NM</t>
        </is>
      </c>
      <c r="K250" s="33" t="n">
        <v>250</v>
      </c>
      <c r="L250" s="34" t="n">
        <v>1</v>
      </c>
      <c r="M250" s="5" t="inlineStr">
        <is>
          <t>2026-06-30</t>
        </is>
      </c>
    </row>
    <row r="251">
      <c r="A251" s="5" t="inlineStr">
        <is>
          <t>contributions_by_state</t>
        </is>
      </c>
      <c r="B251" s="5" t="n">
        <v>2026</v>
      </c>
      <c r="C251" s="5" t="inlineStr">
        <is>
          <t>Bob Brooks</t>
        </is>
      </c>
      <c r="D251" s="5" t="inlineStr">
        <is>
          <t>DEM</t>
        </is>
      </c>
      <c r="E251" s="5" t="n"/>
      <c r="F251" s="5" t="n"/>
      <c r="G251" s="5" t="n"/>
      <c r="H251" s="5" t="n"/>
      <c r="I251" s="5" t="n"/>
      <c r="J251" s="5" t="inlineStr">
        <is>
          <t>TN</t>
        </is>
      </c>
      <c r="K251" s="33" t="n">
        <v>250</v>
      </c>
      <c r="L251" s="34" t="n">
        <v>1</v>
      </c>
      <c r="M251" s="5" t="inlineStr">
        <is>
          <t>2026-06-30</t>
        </is>
      </c>
    </row>
    <row r="252">
      <c r="A252" s="5" t="inlineStr">
        <is>
          <t>contributions_by_size</t>
        </is>
      </c>
      <c r="B252" s="5" t="n">
        <v>2026</v>
      </c>
      <c r="C252" s="5" t="inlineStr">
        <is>
          <t>Bob Brooks</t>
        </is>
      </c>
      <c r="D252" s="5" t="inlineStr">
        <is>
          <t>DEM</t>
        </is>
      </c>
      <c r="E252" s="5" t="n"/>
      <c r="F252" s="5" t="inlineStr">
        <is>
          <t>$200 or less</t>
        </is>
      </c>
      <c r="G252" s="5" t="n"/>
      <c r="H252" s="5" t="n"/>
      <c r="I252" s="5" t="n"/>
      <c r="J252" s="5" t="n"/>
      <c r="K252" s="33" t="n">
        <v>645126.5600000001</v>
      </c>
      <c r="L252" s="34" t="n"/>
      <c r="M252" s="5" t="inlineStr">
        <is>
          <t>2026-06-30</t>
        </is>
      </c>
    </row>
    <row r="253">
      <c r="A253" s="5" t="inlineStr">
        <is>
          <t>contributions_by_size</t>
        </is>
      </c>
      <c r="B253" s="5" t="n">
        <v>2026</v>
      </c>
      <c r="C253" s="5" t="inlineStr">
        <is>
          <t>Bob Brooks</t>
        </is>
      </c>
      <c r="D253" s="5" t="inlineStr">
        <is>
          <t>DEM</t>
        </is>
      </c>
      <c r="E253" s="5" t="n"/>
      <c r="F253" s="5" t="inlineStr">
        <is>
          <t>$200.01 to $499.99</t>
        </is>
      </c>
      <c r="G253" s="5" t="n"/>
      <c r="H253" s="5" t="n"/>
      <c r="I253" s="5" t="n"/>
      <c r="J253" s="5" t="n"/>
      <c r="K253" s="33" t="n">
        <v>122396.32</v>
      </c>
      <c r="L253" s="34" t="n">
        <v>453</v>
      </c>
      <c r="M253" s="5" t="inlineStr">
        <is>
          <t>2026-06-30</t>
        </is>
      </c>
    </row>
    <row r="254">
      <c r="A254" s="5" t="inlineStr">
        <is>
          <t>contributions_by_size</t>
        </is>
      </c>
      <c r="B254" s="5" t="n">
        <v>2026</v>
      </c>
      <c r="C254" s="5" t="inlineStr">
        <is>
          <t>Bob Brooks</t>
        </is>
      </c>
      <c r="D254" s="5" t="inlineStr">
        <is>
          <t>DEM</t>
        </is>
      </c>
      <c r="E254" s="5" t="n"/>
      <c r="F254" s="5" t="inlineStr">
        <is>
          <t>$500 to $999.99</t>
        </is>
      </c>
      <c r="G254" s="5" t="n"/>
      <c r="H254" s="5" t="n"/>
      <c r="I254" s="5" t="n"/>
      <c r="J254" s="5" t="n"/>
      <c r="K254" s="33" t="n">
        <v>151953.87</v>
      </c>
      <c r="L254" s="34" t="n">
        <v>292</v>
      </c>
      <c r="M254" s="5" t="inlineStr">
        <is>
          <t>2026-06-30</t>
        </is>
      </c>
    </row>
    <row r="255">
      <c r="A255" s="5" t="inlineStr">
        <is>
          <t>contributions_by_size</t>
        </is>
      </c>
      <c r="B255" s="5" t="n">
        <v>2026</v>
      </c>
      <c r="C255" s="5" t="inlineStr">
        <is>
          <t>Bob Brooks</t>
        </is>
      </c>
      <c r="D255" s="5" t="inlineStr">
        <is>
          <t>DEM</t>
        </is>
      </c>
      <c r="E255" s="5" t="n"/>
      <c r="F255" s="5" t="inlineStr">
        <is>
          <t>$1,000 to $1,999.99</t>
        </is>
      </c>
      <c r="G255" s="5" t="n"/>
      <c r="H255" s="5" t="n"/>
      <c r="I255" s="5" t="n"/>
      <c r="J255" s="5" t="n"/>
      <c r="K255" s="33" t="n">
        <v>243422.46</v>
      </c>
      <c r="L255" s="34" t="n">
        <v>224</v>
      </c>
      <c r="M255" s="5" t="inlineStr">
        <is>
          <t>2026-06-30</t>
        </is>
      </c>
    </row>
    <row r="256">
      <c r="A256" s="5" t="inlineStr">
        <is>
          <t>contributions_by_size</t>
        </is>
      </c>
      <c r="B256" s="5" t="n">
        <v>2026</v>
      </c>
      <c r="C256" s="5" t="inlineStr">
        <is>
          <t>Bob Brooks</t>
        </is>
      </c>
      <c r="D256" s="5" t="inlineStr">
        <is>
          <t>DEM</t>
        </is>
      </c>
      <c r="E256" s="5" t="n"/>
      <c r="F256" s="5" t="inlineStr">
        <is>
          <t>$2,000 and over</t>
        </is>
      </c>
      <c r="G256" s="5" t="n"/>
      <c r="H256" s="5" t="n"/>
      <c r="I256" s="5" t="n"/>
      <c r="J256" s="5" t="n"/>
      <c r="K256" s="33" t="n">
        <v>798593.73</v>
      </c>
      <c r="L256" s="34" t="n">
        <v>246</v>
      </c>
      <c r="M256" s="5" t="inlineStr">
        <is>
          <t>2026-06-30</t>
        </is>
      </c>
    </row>
    <row r="257">
      <c r="A257" s="5" t="inlineStr">
        <is>
          <t>contributions_in_district</t>
        </is>
      </c>
      <c r="B257" s="5" t="n">
        <v>2026</v>
      </c>
      <c r="C257" s="5" t="inlineStr">
        <is>
          <t>Bob Brooks</t>
        </is>
      </c>
      <c r="D257" s="5" t="inlineStr">
        <is>
          <t>DEM</t>
        </is>
      </c>
      <c r="E257" s="5" t="n"/>
      <c r="F257" s="5" t="inlineStr">
        <is>
          <t>Zip codes 180xx, 181xx, 182xx, 183xx</t>
        </is>
      </c>
      <c r="G257" s="5" t="inlineStr">
        <is>
          <t>In district (approximate)</t>
        </is>
      </c>
      <c r="H257" s="5" t="n"/>
      <c r="I257" s="5" t="n"/>
      <c r="J257" s="5" t="n"/>
      <c r="K257" s="33" t="n">
        <v>92671.33</v>
      </c>
      <c r="L257" s="34" t="n"/>
      <c r="M257" s="5" t="inlineStr">
        <is>
          <t>2026-06-30</t>
        </is>
      </c>
    </row>
    <row r="258">
      <c r="A258" s="5" t="inlineStr">
        <is>
          <t>contributions_in_district</t>
        </is>
      </c>
      <c r="B258" s="5" t="n">
        <v>2026</v>
      </c>
      <c r="C258" s="5" t="inlineStr">
        <is>
          <t>Bob Brooks</t>
        </is>
      </c>
      <c r="D258" s="5" t="inlineStr">
        <is>
          <t>DEM</t>
        </is>
      </c>
      <c r="E258" s="5" t="n"/>
      <c r="F258" s="5" t="n"/>
      <c r="G258" s="5" t="inlineStr">
        <is>
          <t>All itemized, by zip</t>
        </is>
      </c>
      <c r="H258" s="5" t="n"/>
      <c r="I258" s="5" t="n"/>
      <c r="J258" s="5" t="n"/>
      <c r="K258" s="33" t="n">
        <v>1362106.16</v>
      </c>
      <c r="L258" s="34" t="n">
        <v>679</v>
      </c>
      <c r="M258" s="5" t="inlineStr">
        <is>
          <t>2026-06-30</t>
        </is>
      </c>
    </row>
    <row r="259">
      <c r="A259" s="5" t="inlineStr">
        <is>
          <t>contributions_top_zips</t>
        </is>
      </c>
      <c r="B259" s="5" t="n">
        <v>2026</v>
      </c>
      <c r="C259" s="5" t="inlineStr">
        <is>
          <t>Bob Brooks</t>
        </is>
      </c>
      <c r="D259" s="5" t="inlineStr">
        <is>
          <t>DEM</t>
        </is>
      </c>
      <c r="E259" s="5" t="n"/>
      <c r="F259" s="5" t="n"/>
      <c r="G259" s="5" t="inlineStr">
        <is>
          <t>18064</t>
        </is>
      </c>
      <c r="H259" s="5" t="n"/>
      <c r="I259" s="5" t="n"/>
      <c r="J259" s="5" t="n"/>
      <c r="K259" s="33" t="n">
        <v>31450</v>
      </c>
      <c r="L259" s="34" t="n">
        <v>38</v>
      </c>
      <c r="M259" s="5" t="inlineStr">
        <is>
          <t>2026-06-30</t>
        </is>
      </c>
    </row>
    <row r="260">
      <c r="A260" s="5" t="inlineStr">
        <is>
          <t>contributions_top_zips</t>
        </is>
      </c>
      <c r="B260" s="5" t="n">
        <v>2026</v>
      </c>
      <c r="C260" s="5" t="inlineStr">
        <is>
          <t>Bob Brooks</t>
        </is>
      </c>
      <c r="D260" s="5" t="inlineStr">
        <is>
          <t>DEM</t>
        </is>
      </c>
      <c r="E260" s="5" t="n"/>
      <c r="F260" s="5" t="n"/>
      <c r="G260" s="5" t="inlineStr">
        <is>
          <t>19103</t>
        </is>
      </c>
      <c r="H260" s="5" t="n"/>
      <c r="I260" s="5" t="n"/>
      <c r="J260" s="5" t="n"/>
      <c r="K260" s="33" t="n">
        <v>25050</v>
      </c>
      <c r="L260" s="34" t="n">
        <v>15</v>
      </c>
      <c r="M260" s="5" t="inlineStr">
        <is>
          <t>2026-06-30</t>
        </is>
      </c>
    </row>
    <row r="261">
      <c r="A261" s="5" t="inlineStr">
        <is>
          <t>contributions_top_zips</t>
        </is>
      </c>
      <c r="B261" s="5" t="n">
        <v>2026</v>
      </c>
      <c r="C261" s="5" t="inlineStr">
        <is>
          <t>Bob Brooks</t>
        </is>
      </c>
      <c r="D261" s="5" t="inlineStr">
        <is>
          <t>DEM</t>
        </is>
      </c>
      <c r="E261" s="5" t="n"/>
      <c r="F261" s="5" t="n"/>
      <c r="G261" s="5" t="inlineStr">
        <is>
          <t>10011</t>
        </is>
      </c>
      <c r="H261" s="5" t="n"/>
      <c r="I261" s="5" t="n"/>
      <c r="J261" s="5" t="n"/>
      <c r="K261" s="33" t="n">
        <v>24000</v>
      </c>
      <c r="L261" s="34" t="n">
        <v>9</v>
      </c>
      <c r="M261" s="5" t="inlineStr">
        <is>
          <t>2026-06-30</t>
        </is>
      </c>
    </row>
    <row r="262">
      <c r="A262" s="5" t="inlineStr">
        <is>
          <t>contributions_top_zips</t>
        </is>
      </c>
      <c r="B262" s="5" t="n">
        <v>2026</v>
      </c>
      <c r="C262" s="5" t="inlineStr">
        <is>
          <t>Bob Brooks</t>
        </is>
      </c>
      <c r="D262" s="5" t="inlineStr">
        <is>
          <t>DEM</t>
        </is>
      </c>
      <c r="E262" s="5" t="n"/>
      <c r="F262" s="5" t="n"/>
      <c r="G262" s="5" t="inlineStr">
        <is>
          <t>10024</t>
        </is>
      </c>
      <c r="H262" s="5" t="n"/>
      <c r="I262" s="5" t="n"/>
      <c r="J262" s="5" t="n"/>
      <c r="K262" s="33" t="n">
        <v>22813.08</v>
      </c>
      <c r="L262" s="34" t="n">
        <v>27</v>
      </c>
      <c r="M262" s="5" t="inlineStr">
        <is>
          <t>2026-06-30</t>
        </is>
      </c>
    </row>
    <row r="263">
      <c r="A263" s="5" t="inlineStr">
        <is>
          <t>contributions_top_zips</t>
        </is>
      </c>
      <c r="B263" s="5" t="n">
        <v>2026</v>
      </c>
      <c r="C263" s="5" t="inlineStr">
        <is>
          <t>Bob Brooks</t>
        </is>
      </c>
      <c r="D263" s="5" t="inlineStr">
        <is>
          <t>DEM</t>
        </is>
      </c>
      <c r="E263" s="5" t="n"/>
      <c r="F263" s="5" t="n"/>
      <c r="G263" s="5" t="inlineStr">
        <is>
          <t>06830</t>
        </is>
      </c>
      <c r="H263" s="5" t="n"/>
      <c r="I263" s="5" t="n"/>
      <c r="J263" s="5" t="n"/>
      <c r="K263" s="33" t="n">
        <v>21500</v>
      </c>
      <c r="L263" s="34" t="n">
        <v>8</v>
      </c>
      <c r="M263" s="5" t="inlineStr">
        <is>
          <t>2026-06-30</t>
        </is>
      </c>
    </row>
    <row r="264">
      <c r="A264" s="5" t="inlineStr">
        <is>
          <t>contributions_top_zips</t>
        </is>
      </c>
      <c r="B264" s="5" t="n">
        <v>2026</v>
      </c>
      <c r="C264" s="5" t="inlineStr">
        <is>
          <t>Bob Brooks</t>
        </is>
      </c>
      <c r="D264" s="5" t="inlineStr">
        <is>
          <t>DEM</t>
        </is>
      </c>
      <c r="E264" s="5" t="n"/>
      <c r="F264" s="5" t="n"/>
      <c r="G264" s="5" t="inlineStr">
        <is>
          <t>11238</t>
        </is>
      </c>
      <c r="H264" s="5" t="n"/>
      <c r="I264" s="5" t="n"/>
      <c r="J264" s="5" t="n"/>
      <c r="K264" s="33" t="n">
        <v>20500</v>
      </c>
      <c r="L264" s="34" t="n">
        <v>9</v>
      </c>
      <c r="M264" s="5" t="inlineStr">
        <is>
          <t>2026-06-30</t>
        </is>
      </c>
    </row>
    <row r="265">
      <c r="A265" s="5" t="inlineStr">
        <is>
          <t>contributions_top_zips</t>
        </is>
      </c>
      <c r="B265" s="5" t="n">
        <v>2026</v>
      </c>
      <c r="C265" s="5" t="inlineStr">
        <is>
          <t>Bob Brooks</t>
        </is>
      </c>
      <c r="D265" s="5" t="inlineStr">
        <is>
          <t>DEM</t>
        </is>
      </c>
      <c r="E265" s="5" t="n"/>
      <c r="F265" s="5" t="n"/>
      <c r="G265" s="5" t="inlineStr">
        <is>
          <t>94027</t>
        </is>
      </c>
      <c r="H265" s="5" t="n"/>
      <c r="I265" s="5" t="n"/>
      <c r="J265" s="5" t="n"/>
      <c r="K265" s="33" t="n">
        <v>18675</v>
      </c>
      <c r="L265" s="34" t="n">
        <v>8</v>
      </c>
      <c r="M265" s="5" t="inlineStr">
        <is>
          <t>2026-06-30</t>
        </is>
      </c>
    </row>
    <row r="266">
      <c r="A266" s="5" t="inlineStr">
        <is>
          <t>contributions_top_zips</t>
        </is>
      </c>
      <c r="B266" s="5" t="n">
        <v>2026</v>
      </c>
      <c r="C266" s="5" t="inlineStr">
        <is>
          <t>Bob Brooks</t>
        </is>
      </c>
      <c r="D266" s="5" t="inlineStr">
        <is>
          <t>DEM</t>
        </is>
      </c>
      <c r="E266" s="5" t="n"/>
      <c r="F266" s="5" t="n"/>
      <c r="G266" s="5" t="inlineStr">
        <is>
          <t>10012</t>
        </is>
      </c>
      <c r="H266" s="5" t="n"/>
      <c r="I266" s="5" t="n"/>
      <c r="J266" s="5" t="n"/>
      <c r="K266" s="33" t="n">
        <v>17750</v>
      </c>
      <c r="L266" s="34" t="n">
        <v>6</v>
      </c>
      <c r="M266" s="5" t="inlineStr">
        <is>
          <t>2026-06-30</t>
        </is>
      </c>
    </row>
    <row r="267">
      <c r="A267" s="5" t="inlineStr">
        <is>
          <t>contributions_top_zips</t>
        </is>
      </c>
      <c r="B267" s="5" t="n">
        <v>2026</v>
      </c>
      <c r="C267" s="5" t="inlineStr">
        <is>
          <t>Bob Brooks</t>
        </is>
      </c>
      <c r="D267" s="5" t="inlineStr">
        <is>
          <t>DEM</t>
        </is>
      </c>
      <c r="E267" s="5" t="n"/>
      <c r="F267" s="5" t="n"/>
      <c r="G267" s="5" t="inlineStr">
        <is>
          <t>94301</t>
        </is>
      </c>
      <c r="H267" s="5" t="n"/>
      <c r="I267" s="5" t="n"/>
      <c r="J267" s="5" t="n"/>
      <c r="K267" s="33" t="n">
        <v>17750</v>
      </c>
      <c r="L267" s="34" t="n">
        <v>6</v>
      </c>
      <c r="M267" s="5" t="inlineStr">
        <is>
          <t>2026-06-30</t>
        </is>
      </c>
    </row>
    <row r="268">
      <c r="A268" s="5" t="inlineStr">
        <is>
          <t>contributions_top_zips</t>
        </is>
      </c>
      <c r="B268" s="5" t="n">
        <v>2026</v>
      </c>
      <c r="C268" s="5" t="inlineStr">
        <is>
          <t>Bob Brooks</t>
        </is>
      </c>
      <c r="D268" s="5" t="inlineStr">
        <is>
          <t>DEM</t>
        </is>
      </c>
      <c r="E268" s="5" t="n"/>
      <c r="F268" s="5" t="n"/>
      <c r="G268" s="5" t="inlineStr">
        <is>
          <t>10075</t>
        </is>
      </c>
      <c r="H268" s="5" t="n"/>
      <c r="I268" s="5" t="n"/>
      <c r="J268" s="5" t="n"/>
      <c r="K268" s="33" t="n">
        <v>17500</v>
      </c>
      <c r="L268" s="34" t="n">
        <v>5</v>
      </c>
      <c r="M268" s="5" t="inlineStr">
        <is>
          <t>2026-06-30</t>
        </is>
      </c>
    </row>
    <row r="269">
      <c r="A269" s="5" t="inlineStr">
        <is>
          <t>contributions_by_occupation</t>
        </is>
      </c>
      <c r="B269" s="5" t="n">
        <v>2026</v>
      </c>
      <c r="C269" s="5" t="inlineStr">
        <is>
          <t>Bob Brooks</t>
        </is>
      </c>
      <c r="D269" s="5" t="inlineStr">
        <is>
          <t>DEM</t>
        </is>
      </c>
      <c r="E269" s="5" t="n"/>
      <c r="F269" s="5" t="n"/>
      <c r="G269" s="5" t="inlineStr">
        <is>
          <t>NOT EMPLOYED</t>
        </is>
      </c>
      <c r="H269" s="5" t="n"/>
      <c r="I269" s="5" t="n"/>
      <c r="J269" s="5" t="n"/>
      <c r="K269" s="33" t="n">
        <v>453408.96</v>
      </c>
      <c r="L269" s="34" t="n">
        <v>950</v>
      </c>
      <c r="M269" s="5" t="inlineStr">
        <is>
          <t>2026-06-30</t>
        </is>
      </c>
    </row>
    <row r="270">
      <c r="A270" s="5" t="inlineStr">
        <is>
          <t>contributions_by_occupation</t>
        </is>
      </c>
      <c r="B270" s="5" t="n">
        <v>2026</v>
      </c>
      <c r="C270" s="5" t="inlineStr">
        <is>
          <t>Bob Brooks</t>
        </is>
      </c>
      <c r="D270" s="5" t="inlineStr">
        <is>
          <t>DEM</t>
        </is>
      </c>
      <c r="E270" s="5" t="n"/>
      <c r="F270" s="5" t="n"/>
      <c r="G270" s="5" t="inlineStr">
        <is>
          <t>RETIRED</t>
        </is>
      </c>
      <c r="H270" s="5" t="n"/>
      <c r="I270" s="5" t="n"/>
      <c r="J270" s="5" t="n"/>
      <c r="K270" s="33" t="n">
        <v>112066.52</v>
      </c>
      <c r="L270" s="34" t="n">
        <v>121</v>
      </c>
      <c r="M270" s="5" t="inlineStr">
        <is>
          <t>2026-06-30</t>
        </is>
      </c>
    </row>
    <row r="271">
      <c r="A271" s="5" t="inlineStr">
        <is>
          <t>contributions_by_occupation</t>
        </is>
      </c>
      <c r="B271" s="5" t="n">
        <v>2026</v>
      </c>
      <c r="C271" s="5" t="inlineStr">
        <is>
          <t>Bob Brooks</t>
        </is>
      </c>
      <c r="D271" s="5" t="inlineStr">
        <is>
          <t>DEM</t>
        </is>
      </c>
      <c r="E271" s="5" t="n"/>
      <c r="F271" s="5" t="n"/>
      <c r="G271" s="5" t="inlineStr">
        <is>
          <t>NO EMPLOYER</t>
        </is>
      </c>
      <c r="H271" s="5" t="n"/>
      <c r="I271" s="5" t="n"/>
      <c r="J271" s="5" t="n"/>
      <c r="K271" s="33" t="n">
        <v>98780.55</v>
      </c>
      <c r="L271" s="34" t="n">
        <v>118</v>
      </c>
      <c r="M271" s="5" t="inlineStr">
        <is>
          <t>2026-06-30</t>
        </is>
      </c>
    </row>
    <row r="272">
      <c r="A272" s="5" t="inlineStr">
        <is>
          <t>contributions_by_occupation</t>
        </is>
      </c>
      <c r="B272" s="5" t="n">
        <v>2026</v>
      </c>
      <c r="C272" s="5" t="inlineStr">
        <is>
          <t>Bob Brooks</t>
        </is>
      </c>
      <c r="D272" s="5" t="inlineStr">
        <is>
          <t>DEM</t>
        </is>
      </c>
      <c r="E272" s="5" t="n"/>
      <c r="F272" s="5" t="n"/>
      <c r="G272" s="5" t="inlineStr">
        <is>
          <t>ATTORNEY</t>
        </is>
      </c>
      <c r="H272" s="5" t="n"/>
      <c r="I272" s="5" t="n"/>
      <c r="J272" s="5" t="n"/>
      <c r="K272" s="33" t="n">
        <v>58164.13</v>
      </c>
      <c r="L272" s="34" t="n">
        <v>77</v>
      </c>
      <c r="M272" s="5" t="inlineStr">
        <is>
          <t>2026-06-30</t>
        </is>
      </c>
    </row>
    <row r="273">
      <c r="A273" s="5" t="inlineStr">
        <is>
          <t>contributions_by_occupation</t>
        </is>
      </c>
      <c r="B273" s="5" t="n">
        <v>2026</v>
      </c>
      <c r="C273" s="5" t="inlineStr">
        <is>
          <t>Bob Brooks</t>
        </is>
      </c>
      <c r="D273" s="5" t="inlineStr">
        <is>
          <t>DEM</t>
        </is>
      </c>
      <c r="E273" s="5" t="n"/>
      <c r="F273" s="5" t="n"/>
      <c r="G273" s="5" t="inlineStr">
        <is>
          <t>CEO</t>
        </is>
      </c>
      <c r="H273" s="5" t="n"/>
      <c r="I273" s="5" t="n"/>
      <c r="J273" s="5" t="n"/>
      <c r="K273" s="33" t="n">
        <v>44343.9</v>
      </c>
      <c r="L273" s="34" t="n">
        <v>21</v>
      </c>
      <c r="M273" s="5" t="inlineStr">
        <is>
          <t>2026-06-30</t>
        </is>
      </c>
    </row>
    <row r="274">
      <c r="A274" s="5" t="inlineStr">
        <is>
          <t>contributions_by_occupation</t>
        </is>
      </c>
      <c r="B274" s="5" t="n">
        <v>2026</v>
      </c>
      <c r="C274" s="5" t="inlineStr">
        <is>
          <t>Bob Brooks</t>
        </is>
      </c>
      <c r="D274" s="5" t="inlineStr">
        <is>
          <t>DEM</t>
        </is>
      </c>
      <c r="E274" s="5" t="n"/>
      <c r="F274" s="5" t="n"/>
      <c r="G274" s="5" t="inlineStr">
        <is>
          <t>PHYSICIAN</t>
        </is>
      </c>
      <c r="H274" s="5" t="n"/>
      <c r="I274" s="5" t="n"/>
      <c r="J274" s="5" t="n"/>
      <c r="K274" s="33" t="n">
        <v>26135.41</v>
      </c>
      <c r="L274" s="34" t="n">
        <v>38</v>
      </c>
      <c r="M274" s="5" t="inlineStr">
        <is>
          <t>2026-06-30</t>
        </is>
      </c>
    </row>
    <row r="275">
      <c r="A275" s="5" t="inlineStr">
        <is>
          <t>contributions_by_occupation</t>
        </is>
      </c>
      <c r="B275" s="5" t="n">
        <v>2026</v>
      </c>
      <c r="C275" s="5" t="inlineStr">
        <is>
          <t>Bob Brooks</t>
        </is>
      </c>
      <c r="D275" s="5" t="inlineStr">
        <is>
          <t>DEM</t>
        </is>
      </c>
      <c r="E275" s="5" t="n"/>
      <c r="F275" s="5" t="n"/>
      <c r="G275" s="5" t="inlineStr">
        <is>
          <t>FIREFIGHTER</t>
        </is>
      </c>
      <c r="H275" s="5" t="n"/>
      <c r="I275" s="5" t="n"/>
      <c r="J275" s="5" t="n"/>
      <c r="K275" s="33" t="n">
        <v>25304</v>
      </c>
      <c r="L275" s="34" t="n">
        <v>86</v>
      </c>
      <c r="M275" s="5" t="inlineStr">
        <is>
          <t>2026-06-30</t>
        </is>
      </c>
    </row>
    <row r="276">
      <c r="A276" s="5" t="inlineStr">
        <is>
          <t>contributions_by_occupation</t>
        </is>
      </c>
      <c r="B276" s="5" t="n">
        <v>2026</v>
      </c>
      <c r="C276" s="5" t="inlineStr">
        <is>
          <t>Bob Brooks</t>
        </is>
      </c>
      <c r="D276" s="5" t="inlineStr">
        <is>
          <t>DEM</t>
        </is>
      </c>
      <c r="E276" s="5" t="n"/>
      <c r="F276" s="5" t="n"/>
      <c r="G276" s="5" t="inlineStr">
        <is>
          <t>CONSULTANT</t>
        </is>
      </c>
      <c r="H276" s="5" t="n"/>
      <c r="I276" s="5" t="n"/>
      <c r="J276" s="5" t="n"/>
      <c r="K276" s="33" t="n">
        <v>25083.33</v>
      </c>
      <c r="L276" s="34" t="n">
        <v>53</v>
      </c>
      <c r="M276" s="5" t="inlineStr">
        <is>
          <t>2026-06-30</t>
        </is>
      </c>
    </row>
    <row r="277">
      <c r="A277" s="5" t="inlineStr">
        <is>
          <t>contributions_by_occupation</t>
        </is>
      </c>
      <c r="B277" s="5" t="n">
        <v>2026</v>
      </c>
      <c r="C277" s="5" t="inlineStr">
        <is>
          <t>Bob Brooks</t>
        </is>
      </c>
      <c r="D277" s="5" t="inlineStr">
        <is>
          <t>DEM</t>
        </is>
      </c>
      <c r="E277" s="5" t="n"/>
      <c r="F277" s="5" t="n"/>
      <c r="G277" s="5" t="inlineStr">
        <is>
          <t>PRESIDENT</t>
        </is>
      </c>
      <c r="H277" s="5" t="n"/>
      <c r="I277" s="5" t="n"/>
      <c r="J277" s="5" t="n"/>
      <c r="K277" s="33" t="n">
        <v>22300</v>
      </c>
      <c r="L277" s="34" t="n">
        <v>23</v>
      </c>
      <c r="M277" s="5" t="inlineStr">
        <is>
          <t>2026-06-30</t>
        </is>
      </c>
    </row>
    <row r="278">
      <c r="A278" s="5" t="inlineStr">
        <is>
          <t>contributions_by_occupation</t>
        </is>
      </c>
      <c r="B278" s="5" t="n">
        <v>2026</v>
      </c>
      <c r="C278" s="5" t="inlineStr">
        <is>
          <t>Bob Brooks</t>
        </is>
      </c>
      <c r="D278" s="5" t="inlineStr">
        <is>
          <t>DEM</t>
        </is>
      </c>
      <c r="E278" s="5" t="n"/>
      <c r="F278" s="5" t="n"/>
      <c r="G278" s="5" t="inlineStr">
        <is>
          <t>NULL</t>
        </is>
      </c>
      <c r="H278" s="5" t="n"/>
      <c r="I278" s="5" t="n"/>
      <c r="J278" s="5" t="n"/>
      <c r="K278" s="33" t="n">
        <v>20900</v>
      </c>
      <c r="L278" s="34" t="n">
        <v>17</v>
      </c>
      <c r="M278" s="5" t="inlineStr">
        <is>
          <t>2026-06-30</t>
        </is>
      </c>
    </row>
    <row r="279">
      <c r="A279" s="5" t="inlineStr">
        <is>
          <t>contributions_by_occupation</t>
        </is>
      </c>
      <c r="B279" s="5" t="n">
        <v>2026</v>
      </c>
      <c r="C279" s="5" t="inlineStr">
        <is>
          <t>Bob Brooks</t>
        </is>
      </c>
      <c r="D279" s="5" t="inlineStr">
        <is>
          <t>DEM</t>
        </is>
      </c>
      <c r="E279" s="5" t="n"/>
      <c r="F279" s="5" t="n"/>
      <c r="G279" s="5" t="inlineStr">
        <is>
          <t>MANAGING DIRECTOR</t>
        </is>
      </c>
      <c r="H279" s="5" t="n"/>
      <c r="I279" s="5" t="n"/>
      <c r="J279" s="5" t="n"/>
      <c r="K279" s="33" t="n">
        <v>16017.85</v>
      </c>
      <c r="L279" s="34" t="n">
        <v>7</v>
      </c>
      <c r="M279" s="5" t="inlineStr">
        <is>
          <t>2026-06-30</t>
        </is>
      </c>
    </row>
    <row r="280">
      <c r="A280" s="5" t="inlineStr">
        <is>
          <t>contributions_by_occupation</t>
        </is>
      </c>
      <c r="B280" s="5" t="n">
        <v>2026</v>
      </c>
      <c r="C280" s="5" t="inlineStr">
        <is>
          <t>Bob Brooks</t>
        </is>
      </c>
      <c r="D280" s="5" t="inlineStr">
        <is>
          <t>DEM</t>
        </is>
      </c>
      <c r="E280" s="5" t="n"/>
      <c r="F280" s="5" t="n"/>
      <c r="G280" s="5" t="inlineStr">
        <is>
          <t>FINANCE</t>
        </is>
      </c>
      <c r="H280" s="5" t="n"/>
      <c r="I280" s="5" t="n"/>
      <c r="J280" s="5" t="n"/>
      <c r="K280" s="33" t="n">
        <v>14472.22</v>
      </c>
      <c r="L280" s="34" t="n">
        <v>6</v>
      </c>
      <c r="M280" s="5" t="inlineStr">
        <is>
          <t>2026-06-30</t>
        </is>
      </c>
    </row>
    <row r="281">
      <c r="A281" s="5" t="inlineStr">
        <is>
          <t>spending_by_category</t>
        </is>
      </c>
      <c r="B281" s="5" t="n">
        <v>2026</v>
      </c>
      <c r="C281" s="5" t="inlineStr">
        <is>
          <t>Ryan Mackenzie</t>
        </is>
      </c>
      <c r="D281" s="5" t="inlineStr">
        <is>
          <t>REP</t>
        </is>
      </c>
      <c r="E281" s="5" t="n"/>
      <c r="F281" s="5" t="inlineStr">
        <is>
          <t>Fundraising</t>
        </is>
      </c>
      <c r="G281" s="5" t="n"/>
      <c r="H281" s="5" t="n"/>
      <c r="I281" s="5" t="n"/>
      <c r="J281" s="5" t="n"/>
      <c r="K281" s="33" t="n">
        <v>1017403.05</v>
      </c>
      <c r="L281" s="34" t="n">
        <v>508</v>
      </c>
      <c r="M281" s="5" t="inlineStr">
        <is>
          <t>2026-06-30</t>
        </is>
      </c>
    </row>
    <row r="282">
      <c r="A282" s="5" t="inlineStr">
        <is>
          <t>spending_by_category</t>
        </is>
      </c>
      <c r="B282" s="5" t="n">
        <v>2026</v>
      </c>
      <c r="C282" s="5" t="inlineStr">
        <is>
          <t>Ryan Mackenzie</t>
        </is>
      </c>
      <c r="D282" s="5" t="inlineStr">
        <is>
          <t>REP</t>
        </is>
      </c>
      <c r="E282" s="5" t="n"/>
      <c r="F282" s="5" t="inlineStr">
        <is>
          <t>Office and administrative</t>
        </is>
      </c>
      <c r="G282" s="5" t="n"/>
      <c r="H282" s="5" t="n"/>
      <c r="I282" s="5" t="n"/>
      <c r="J282" s="5" t="n"/>
      <c r="K282" s="33" t="n">
        <v>107158.6</v>
      </c>
      <c r="L282" s="34" t="n">
        <v>252</v>
      </c>
      <c r="M282" s="5" t="inlineStr">
        <is>
          <t>2026-06-30</t>
        </is>
      </c>
    </row>
    <row r="283">
      <c r="A283" s="5" t="inlineStr">
        <is>
          <t>spending_by_category</t>
        </is>
      </c>
      <c r="B283" s="5" t="n">
        <v>2026</v>
      </c>
      <c r="C283" s="5" t="inlineStr">
        <is>
          <t>Ryan Mackenzie</t>
        </is>
      </c>
      <c r="D283" s="5" t="inlineStr">
        <is>
          <t>REP</t>
        </is>
      </c>
      <c r="E283" s="5" t="n"/>
      <c r="F283" s="5" t="inlineStr">
        <is>
          <t>Consulting</t>
        </is>
      </c>
      <c r="G283" s="5" t="n"/>
      <c r="H283" s="5" t="n"/>
      <c r="I283" s="5" t="n"/>
      <c r="J283" s="5" t="n"/>
      <c r="K283" s="33" t="n">
        <v>98693</v>
      </c>
      <c r="L283" s="34" t="n">
        <v>51</v>
      </c>
      <c r="M283" s="5" t="inlineStr">
        <is>
          <t>2026-06-30</t>
        </is>
      </c>
    </row>
    <row r="284">
      <c r="A284" s="5" t="inlineStr">
        <is>
          <t>spending_by_category</t>
        </is>
      </c>
      <c r="B284" s="5" t="n">
        <v>2026</v>
      </c>
      <c r="C284" s="5" t="inlineStr">
        <is>
          <t>Ryan Mackenzie</t>
        </is>
      </c>
      <c r="D284" s="5" t="inlineStr">
        <is>
          <t>REP</t>
        </is>
      </c>
      <c r="E284" s="5" t="n"/>
      <c r="F284" s="5" t="inlineStr">
        <is>
          <t>Events and meals</t>
        </is>
      </c>
      <c r="G284" s="5" t="n"/>
      <c r="H284" s="5" t="n"/>
      <c r="I284" s="5" t="n"/>
      <c r="J284" s="5" t="n"/>
      <c r="K284" s="33" t="n">
        <v>57849.89</v>
      </c>
      <c r="L284" s="34" t="n">
        <v>140</v>
      </c>
      <c r="M284" s="5" t="inlineStr">
        <is>
          <t>2026-06-30</t>
        </is>
      </c>
    </row>
    <row r="285">
      <c r="A285" s="5" t="inlineStr">
        <is>
          <t>spending_by_category</t>
        </is>
      </c>
      <c r="B285" s="5" t="n">
        <v>2026</v>
      </c>
      <c r="C285" s="5" t="inlineStr">
        <is>
          <t>Ryan Mackenzie</t>
        </is>
      </c>
      <c r="D285" s="5" t="inlineStr">
        <is>
          <t>REP</t>
        </is>
      </c>
      <c r="E285" s="5" t="n"/>
      <c r="F285" s="5" t="inlineStr">
        <is>
          <t>Polling and research</t>
        </is>
      </c>
      <c r="G285" s="5" t="n"/>
      <c r="H285" s="5" t="n"/>
      <c r="I285" s="5" t="n"/>
      <c r="J285" s="5" t="n"/>
      <c r="K285" s="33" t="n">
        <v>41376.2</v>
      </c>
      <c r="L285" s="34" t="n">
        <v>19</v>
      </c>
      <c r="M285" s="5" t="inlineStr">
        <is>
          <t>2026-06-30</t>
        </is>
      </c>
    </row>
    <row r="286">
      <c r="A286" s="5" t="inlineStr">
        <is>
          <t>spending_by_category</t>
        </is>
      </c>
      <c r="B286" s="5" t="n">
        <v>2026</v>
      </c>
      <c r="C286" s="5" t="inlineStr">
        <is>
          <t>Ryan Mackenzie</t>
        </is>
      </c>
      <c r="D286" s="5" t="inlineStr">
        <is>
          <t>REP</t>
        </is>
      </c>
      <c r="E286" s="5" t="n"/>
      <c r="F286" s="5" t="inlineStr">
        <is>
          <t>Travel</t>
        </is>
      </c>
      <c r="G286" s="5" t="n"/>
      <c r="H286" s="5" t="n"/>
      <c r="I286" s="5" t="n"/>
      <c r="J286" s="5" t="n"/>
      <c r="K286" s="33" t="n">
        <v>36958.81</v>
      </c>
      <c r="L286" s="34" t="n">
        <v>91</v>
      </c>
      <c r="M286" s="5" t="inlineStr">
        <is>
          <t>2026-06-30</t>
        </is>
      </c>
    </row>
    <row r="287">
      <c r="A287" s="5" t="inlineStr">
        <is>
          <t>spending_by_category</t>
        </is>
      </c>
      <c r="B287" s="5" t="n">
        <v>2026</v>
      </c>
      <c r="C287" s="5" t="inlineStr">
        <is>
          <t>Ryan Mackenzie</t>
        </is>
      </c>
      <c r="D287" s="5" t="inlineStr">
        <is>
          <t>REP</t>
        </is>
      </c>
      <c r="E287" s="5" t="n"/>
      <c r="F287" s="5" t="inlineStr">
        <is>
          <t>Mail and printing</t>
        </is>
      </c>
      <c r="G287" s="5" t="n"/>
      <c r="H287" s="5" t="n"/>
      <c r="I287" s="5" t="n"/>
      <c r="J287" s="5" t="n"/>
      <c r="K287" s="33" t="n">
        <v>36488.46</v>
      </c>
      <c r="L287" s="34" t="n">
        <v>102</v>
      </c>
      <c r="M287" s="5" t="inlineStr">
        <is>
          <t>2026-06-30</t>
        </is>
      </c>
    </row>
    <row r="288">
      <c r="A288" s="5" t="inlineStr">
        <is>
          <t>spending_by_category</t>
        </is>
      </c>
      <c r="B288" s="5" t="n">
        <v>2026</v>
      </c>
      <c r="C288" s="5" t="inlineStr">
        <is>
          <t>Ryan Mackenzie</t>
        </is>
      </c>
      <c r="D288" s="5" t="inlineStr">
        <is>
          <t>REP</t>
        </is>
      </c>
      <c r="E288" s="5" t="n"/>
      <c r="F288" s="5" t="inlineStr">
        <is>
          <t>Signs and merchandise</t>
        </is>
      </c>
      <c r="G288" s="5" t="n"/>
      <c r="H288" s="5" t="n"/>
      <c r="I288" s="5" t="n"/>
      <c r="J288" s="5" t="n"/>
      <c r="K288" s="33" t="n">
        <v>24202.36</v>
      </c>
      <c r="L288" s="34" t="n">
        <v>12</v>
      </c>
      <c r="M288" s="5" t="inlineStr">
        <is>
          <t>2026-06-30</t>
        </is>
      </c>
    </row>
    <row r="289">
      <c r="A289" s="5" t="inlineStr">
        <is>
          <t>spending_by_category</t>
        </is>
      </c>
      <c r="B289" s="5" t="n">
        <v>2026</v>
      </c>
      <c r="C289" s="5" t="inlineStr">
        <is>
          <t>Ryan Mackenzie</t>
        </is>
      </c>
      <c r="D289" s="5" t="inlineStr">
        <is>
          <t>REP</t>
        </is>
      </c>
      <c r="E289" s="5" t="n"/>
      <c r="F289" s="5" t="inlineStr">
        <is>
          <t>Refunds</t>
        </is>
      </c>
      <c r="G289" s="5" t="n"/>
      <c r="H289" s="5" t="n"/>
      <c r="I289" s="5" t="n"/>
      <c r="J289" s="5" t="n"/>
      <c r="K289" s="33" t="n">
        <v>23204.28</v>
      </c>
      <c r="L289" s="34" t="n">
        <v>65</v>
      </c>
      <c r="M289" s="5" t="inlineStr">
        <is>
          <t>2026-06-30</t>
        </is>
      </c>
    </row>
    <row r="290">
      <c r="A290" s="5" t="inlineStr">
        <is>
          <t>spending_by_category</t>
        </is>
      </c>
      <c r="B290" s="5" t="n">
        <v>2026</v>
      </c>
      <c r="C290" s="5" t="inlineStr">
        <is>
          <t>Ryan Mackenzie</t>
        </is>
      </c>
      <c r="D290" s="5" t="inlineStr">
        <is>
          <t>REP</t>
        </is>
      </c>
      <c r="E290" s="5" t="n"/>
      <c r="F290" s="5" t="inlineStr">
        <is>
          <t>Contributions and donations</t>
        </is>
      </c>
      <c r="G290" s="5" t="n"/>
      <c r="H290" s="5" t="n"/>
      <c r="I290" s="5" t="n"/>
      <c r="J290" s="5" t="n"/>
      <c r="K290" s="33" t="n">
        <v>22575</v>
      </c>
      <c r="L290" s="34" t="n">
        <v>9</v>
      </c>
      <c r="M290" s="5" t="inlineStr">
        <is>
          <t>2026-06-30</t>
        </is>
      </c>
    </row>
    <row r="291">
      <c r="A291" s="5" t="inlineStr">
        <is>
          <t>spending_by_category</t>
        </is>
      </c>
      <c r="B291" s="5" t="n">
        <v>2026</v>
      </c>
      <c r="C291" s="5" t="inlineStr">
        <is>
          <t>Ryan Mackenzie</t>
        </is>
      </c>
      <c r="D291" s="5" t="inlineStr">
        <is>
          <t>REP</t>
        </is>
      </c>
      <c r="E291" s="5" t="n"/>
      <c r="F291" s="5" t="inlineStr">
        <is>
          <t>Media production</t>
        </is>
      </c>
      <c r="G291" s="5" t="n"/>
      <c r="H291" s="5" t="n"/>
      <c r="I291" s="5" t="n"/>
      <c r="J291" s="5" t="n"/>
      <c r="K291" s="33" t="n">
        <v>11600</v>
      </c>
      <c r="L291" s="34" t="n">
        <v>4</v>
      </c>
      <c r="M291" s="5" t="inlineStr">
        <is>
          <t>2026-06-30</t>
        </is>
      </c>
    </row>
    <row r="292">
      <c r="A292" s="5" t="inlineStr">
        <is>
          <t>spending_by_category</t>
        </is>
      </c>
      <c r="B292" s="5" t="n">
        <v>2026</v>
      </c>
      <c r="C292" s="5" t="inlineStr">
        <is>
          <t>Ryan Mackenzie</t>
        </is>
      </c>
      <c r="D292" s="5" t="inlineStr">
        <is>
          <t>REP</t>
        </is>
      </c>
      <c r="E292" s="5" t="n"/>
      <c r="F292" s="5" t="inlineStr">
        <is>
          <t>Staff and payroll</t>
        </is>
      </c>
      <c r="G292" s="5" t="n"/>
      <c r="H292" s="5" t="n"/>
      <c r="I292" s="5" t="n"/>
      <c r="J292" s="5" t="n"/>
      <c r="K292" s="33" t="n">
        <v>3465</v>
      </c>
      <c r="L292" s="34" t="n">
        <v>2</v>
      </c>
      <c r="M292" s="5" t="inlineStr">
        <is>
          <t>2026-06-30</t>
        </is>
      </c>
    </row>
    <row r="293">
      <c r="A293" s="5" t="inlineStr">
        <is>
          <t>spending_by_category</t>
        </is>
      </c>
      <c r="B293" s="5" t="n">
        <v>2026</v>
      </c>
      <c r="C293" s="5" t="inlineStr">
        <is>
          <t>Ryan Mackenzie</t>
        </is>
      </c>
      <c r="D293" s="5" t="inlineStr">
        <is>
          <t>REP</t>
        </is>
      </c>
      <c r="E293" s="5" t="n"/>
      <c r="F293" s="5" t="inlineStr">
        <is>
          <t>Print and radio advertising</t>
        </is>
      </c>
      <c r="G293" s="5" t="n"/>
      <c r="H293" s="5" t="n"/>
      <c r="I293" s="5" t="n"/>
      <c r="J293" s="5" t="n"/>
      <c r="K293" s="33" t="n">
        <v>3000</v>
      </c>
      <c r="L293" s="34" t="n">
        <v>3</v>
      </c>
      <c r="M293" s="5" t="inlineStr">
        <is>
          <t>2026-06-30</t>
        </is>
      </c>
    </row>
    <row r="294">
      <c r="A294" s="5" t="inlineStr">
        <is>
          <t>spending_by_category</t>
        </is>
      </c>
      <c r="B294" s="5" t="n">
        <v>2026</v>
      </c>
      <c r="C294" s="5" t="inlineStr">
        <is>
          <t>Ryan Mackenzie</t>
        </is>
      </c>
      <c r="D294" s="5" t="inlineStr">
        <is>
          <t>REP</t>
        </is>
      </c>
      <c r="E294" s="5" t="n"/>
      <c r="F294" s="5" t="inlineStr">
        <is>
          <t>Digital advertising</t>
        </is>
      </c>
      <c r="G294" s="5" t="n"/>
      <c r="H294" s="5" t="n"/>
      <c r="I294" s="5" t="n"/>
      <c r="J294" s="5" t="n"/>
      <c r="K294" s="33" t="n">
        <v>2586</v>
      </c>
      <c r="L294" s="34" t="n">
        <v>2</v>
      </c>
      <c r="M294" s="5" t="inlineStr">
        <is>
          <t>2026-06-30</t>
        </is>
      </c>
    </row>
    <row r="295">
      <c r="A295" s="5" t="inlineStr">
        <is>
          <t>spending_by_category</t>
        </is>
      </c>
      <c r="B295" s="5" t="n">
        <v>2026</v>
      </c>
      <c r="C295" s="5" t="inlineStr">
        <is>
          <t>Ryan Mackenzie</t>
        </is>
      </c>
      <c r="D295" s="5" t="inlineStr">
        <is>
          <t>REP</t>
        </is>
      </c>
      <c r="E295" s="5" t="n"/>
      <c r="F295" s="5" t="inlineStr">
        <is>
          <t>Field, phones and texting</t>
        </is>
      </c>
      <c r="G295" s="5" t="n"/>
      <c r="H295" s="5" t="n"/>
      <c r="I295" s="5" t="n"/>
      <c r="J295" s="5" t="n"/>
      <c r="K295" s="33" t="n">
        <v>850</v>
      </c>
      <c r="L295" s="34" t="n">
        <v>1</v>
      </c>
      <c r="M295" s="5" t="inlineStr">
        <is>
          <t>2026-06-30</t>
        </is>
      </c>
    </row>
    <row r="296">
      <c r="A296" s="5" t="inlineStr">
        <is>
          <t>spending_top_payees</t>
        </is>
      </c>
      <c r="B296" s="5" t="n">
        <v>2026</v>
      </c>
      <c r="C296" s="5" t="inlineStr">
        <is>
          <t>Ryan Mackenzie</t>
        </is>
      </c>
      <c r="D296" s="5" t="inlineStr">
        <is>
          <t>REP</t>
        </is>
      </c>
      <c r="E296" s="5" t="n"/>
      <c r="F296" s="5" t="inlineStr">
        <is>
          <t>Fundraising</t>
        </is>
      </c>
      <c r="G296" s="5" t="inlineStr">
        <is>
          <t>FRONTLINE STRATEGIES</t>
        </is>
      </c>
      <c r="H296" s="5" t="n"/>
      <c r="I296" s="5" t="inlineStr">
        <is>
          <t>ELGIN</t>
        </is>
      </c>
      <c r="J296" s="5" t="inlineStr">
        <is>
          <t>IL</t>
        </is>
      </c>
      <c r="K296" s="33" t="n">
        <v>332817.9</v>
      </c>
      <c r="L296" s="34" t="n">
        <v>107</v>
      </c>
      <c r="M296" s="5" t="inlineStr">
        <is>
          <t>2026-06-30</t>
        </is>
      </c>
    </row>
    <row r="297">
      <c r="A297" s="5" t="inlineStr">
        <is>
          <t>spending_top_payees</t>
        </is>
      </c>
      <c r="B297" s="5" t="n">
        <v>2026</v>
      </c>
      <c r="C297" s="5" t="inlineStr">
        <is>
          <t>Ryan Mackenzie</t>
        </is>
      </c>
      <c r="D297" s="5" t="inlineStr">
        <is>
          <t>REP</t>
        </is>
      </c>
      <c r="E297" s="5" t="n"/>
      <c r="F297" s="5" t="inlineStr">
        <is>
          <t>Fundraising</t>
        </is>
      </c>
      <c r="G297" s="5" t="inlineStr">
        <is>
          <t>DISTRICT CITY CONSULTING</t>
        </is>
      </c>
      <c r="H297" s="5" t="n"/>
      <c r="I297" s="5" t="inlineStr">
        <is>
          <t>WASHINGTON</t>
        </is>
      </c>
      <c r="J297" s="5" t="inlineStr">
        <is>
          <t>DC</t>
        </is>
      </c>
      <c r="K297" s="33" t="n">
        <v>166301.16</v>
      </c>
      <c r="L297" s="34" t="n">
        <v>10</v>
      </c>
      <c r="M297" s="5" t="inlineStr">
        <is>
          <t>2026-06-30</t>
        </is>
      </c>
    </row>
    <row r="298">
      <c r="A298" s="5" t="inlineStr">
        <is>
          <t>spending_top_payees</t>
        </is>
      </c>
      <c r="B298" s="5" t="n">
        <v>2026</v>
      </c>
      <c r="C298" s="5" t="inlineStr">
        <is>
          <t>Ryan Mackenzie</t>
        </is>
      </c>
      <c r="D298" s="5" t="inlineStr">
        <is>
          <t>REP</t>
        </is>
      </c>
      <c r="E298" s="5" t="n"/>
      <c r="F298" s="5" t="inlineStr">
        <is>
          <t>Fundraising</t>
        </is>
      </c>
      <c r="G298" s="5" t="inlineStr">
        <is>
          <t>CHRISTY CONSULTING LLC</t>
        </is>
      </c>
      <c r="H298" s="5" t="n"/>
      <c r="I298" s="5" t="inlineStr">
        <is>
          <t>PHILADELPHIA</t>
        </is>
      </c>
      <c r="J298" s="5" t="inlineStr">
        <is>
          <t>PA</t>
        </is>
      </c>
      <c r="K298" s="33" t="n">
        <v>132892.75</v>
      </c>
      <c r="L298" s="34" t="n">
        <v>27</v>
      </c>
      <c r="M298" s="5" t="inlineStr">
        <is>
          <t>2026-06-30</t>
        </is>
      </c>
    </row>
    <row r="299">
      <c r="A299" s="5" t="inlineStr">
        <is>
          <t>spending_top_payees</t>
        </is>
      </c>
      <c r="B299" s="5" t="n">
        <v>2026</v>
      </c>
      <c r="C299" s="5" t="inlineStr">
        <is>
          <t>Ryan Mackenzie</t>
        </is>
      </c>
      <c r="D299" s="5" t="inlineStr">
        <is>
          <t>REP</t>
        </is>
      </c>
      <c r="E299" s="5" t="n"/>
      <c r="F299" s="5" t="inlineStr">
        <is>
          <t>Fundraising</t>
        </is>
      </c>
      <c r="G299" s="5" t="inlineStr">
        <is>
          <t>FULFILLMENT SOLUTIONS INC.</t>
        </is>
      </c>
      <c r="H299" s="5" t="n"/>
      <c r="I299" s="5" t="inlineStr">
        <is>
          <t>STERLING</t>
        </is>
      </c>
      <c r="J299" s="5" t="inlineStr">
        <is>
          <t>VA</t>
        </is>
      </c>
      <c r="K299" s="33" t="n">
        <v>74152.92</v>
      </c>
      <c r="L299" s="34" t="n">
        <v>31</v>
      </c>
      <c r="M299" s="5" t="inlineStr">
        <is>
          <t>2026-06-30</t>
        </is>
      </c>
    </row>
    <row r="300">
      <c r="A300" s="5" t="inlineStr">
        <is>
          <t>spending_top_payees</t>
        </is>
      </c>
      <c r="B300" s="5" t="n">
        <v>2026</v>
      </c>
      <c r="C300" s="5" t="inlineStr">
        <is>
          <t>Ryan Mackenzie</t>
        </is>
      </c>
      <c r="D300" s="5" t="inlineStr">
        <is>
          <t>REP</t>
        </is>
      </c>
      <c r="E300" s="5" t="n"/>
      <c r="F300" s="5" t="inlineStr">
        <is>
          <t>Fundraising</t>
        </is>
      </c>
      <c r="G300" s="5" t="inlineStr">
        <is>
          <t>DIRECT MAIL FUNDRAISING LLC</t>
        </is>
      </c>
      <c r="H300" s="5" t="n"/>
      <c r="I300" s="5" t="inlineStr">
        <is>
          <t>ASHBURN</t>
        </is>
      </c>
      <c r="J300" s="5" t="inlineStr">
        <is>
          <t>VA</t>
        </is>
      </c>
      <c r="K300" s="33" t="n">
        <v>64451.03</v>
      </c>
      <c r="L300" s="34" t="n">
        <v>16</v>
      </c>
      <c r="M300" s="5" t="inlineStr">
        <is>
          <t>2026-06-30</t>
        </is>
      </c>
    </row>
    <row r="301">
      <c r="A301" s="5" t="inlineStr">
        <is>
          <t>spending_top_payees</t>
        </is>
      </c>
      <c r="B301" s="5" t="n">
        <v>2026</v>
      </c>
      <c r="C301" s="5" t="inlineStr">
        <is>
          <t>Ryan Mackenzie</t>
        </is>
      </c>
      <c r="D301" s="5" t="inlineStr">
        <is>
          <t>REP</t>
        </is>
      </c>
      <c r="E301" s="5" t="n"/>
      <c r="F301" s="5" t="inlineStr">
        <is>
          <t>Consulting</t>
        </is>
      </c>
      <c r="G301" s="5" t="inlineStr">
        <is>
          <t>PATHFINDER COMMUNICATIONS, LLC</t>
        </is>
      </c>
      <c r="H301" s="5" t="n"/>
      <c r="I301" s="5" t="inlineStr">
        <is>
          <t>BERWYN</t>
        </is>
      </c>
      <c r="J301" s="5" t="inlineStr">
        <is>
          <t>PA</t>
        </is>
      </c>
      <c r="K301" s="33" t="n">
        <v>52876.5</v>
      </c>
      <c r="L301" s="34" t="n">
        <v>15</v>
      </c>
      <c r="M301" s="5" t="inlineStr">
        <is>
          <t>2026-06-30</t>
        </is>
      </c>
    </row>
    <row r="302">
      <c r="A302" s="5" t="inlineStr">
        <is>
          <t>spending_top_payees</t>
        </is>
      </c>
      <c r="B302" s="5" t="n">
        <v>2026</v>
      </c>
      <c r="C302" s="5" t="inlineStr">
        <is>
          <t>Ryan Mackenzie</t>
        </is>
      </c>
      <c r="D302" s="5" t="inlineStr">
        <is>
          <t>REP</t>
        </is>
      </c>
      <c r="E302" s="5" t="n"/>
      <c r="F302" s="5" t="inlineStr">
        <is>
          <t>Consulting</t>
        </is>
      </c>
      <c r="G302" s="5" t="inlineStr">
        <is>
          <t>WELLER, ANDRES</t>
        </is>
      </c>
      <c r="H302" s="5" t="n"/>
      <c r="I302" s="5" t="inlineStr">
        <is>
          <t>EMMAUS</t>
        </is>
      </c>
      <c r="J302" s="5" t="inlineStr">
        <is>
          <t>PA</t>
        </is>
      </c>
      <c r="K302" s="33" t="n">
        <v>43138.83</v>
      </c>
      <c r="L302" s="34" t="n">
        <v>28</v>
      </c>
      <c r="M302" s="5" t="inlineStr">
        <is>
          <t>2026-06-30</t>
        </is>
      </c>
    </row>
    <row r="303">
      <c r="A303" s="5" t="inlineStr">
        <is>
          <t>spending_top_payees</t>
        </is>
      </c>
      <c r="B303" s="5" t="n">
        <v>2026</v>
      </c>
      <c r="C303" s="5" t="inlineStr">
        <is>
          <t>Ryan Mackenzie</t>
        </is>
      </c>
      <c r="D303" s="5" t="inlineStr">
        <is>
          <t>REP</t>
        </is>
      </c>
      <c r="E303" s="5" t="n"/>
      <c r="F303" s="5" t="inlineStr">
        <is>
          <t>Fundraising</t>
        </is>
      </c>
      <c r="G303" s="5" t="inlineStr">
        <is>
          <t>WINRED TECHNICAL SERVICES, LLC</t>
        </is>
      </c>
      <c r="H303" s="5" t="n"/>
      <c r="I303" s="5" t="inlineStr">
        <is>
          <t>CHEYENNE</t>
        </is>
      </c>
      <c r="J303" s="5" t="inlineStr">
        <is>
          <t>WY</t>
        </is>
      </c>
      <c r="K303" s="33" t="n">
        <v>41412.94</v>
      </c>
      <c r="L303" s="34" t="n">
        <v>83</v>
      </c>
      <c r="M303" s="5" t="inlineStr">
        <is>
          <t>2026-06-30</t>
        </is>
      </c>
    </row>
    <row r="304">
      <c r="A304" s="5" t="inlineStr">
        <is>
          <t>spending_top_payees</t>
        </is>
      </c>
      <c r="B304" s="5" t="n">
        <v>2026</v>
      </c>
      <c r="C304" s="5" t="inlineStr">
        <is>
          <t>Ryan Mackenzie</t>
        </is>
      </c>
      <c r="D304" s="5" t="inlineStr">
        <is>
          <t>REP</t>
        </is>
      </c>
      <c r="E304" s="5" t="n"/>
      <c r="F304" s="5" t="inlineStr">
        <is>
          <t>Fundraising</t>
        </is>
      </c>
      <c r="G304" s="5" t="inlineStr">
        <is>
          <t>ELITE CONSULTING</t>
        </is>
      </c>
      <c r="H304" s="5" t="n"/>
      <c r="I304" s="5" t="inlineStr">
        <is>
          <t>WASHINGTON</t>
        </is>
      </c>
      <c r="J304" s="5" t="inlineStr">
        <is>
          <t>DC</t>
        </is>
      </c>
      <c r="K304" s="33" t="n">
        <v>40643.9</v>
      </c>
      <c r="L304" s="34" t="n">
        <v>10</v>
      </c>
      <c r="M304" s="5" t="inlineStr">
        <is>
          <t>2026-06-30</t>
        </is>
      </c>
    </row>
    <row r="305">
      <c r="A305" s="5" t="inlineStr">
        <is>
          <t>spending_top_payees</t>
        </is>
      </c>
      <c r="B305" s="5" t="n">
        <v>2026</v>
      </c>
      <c r="C305" s="5" t="inlineStr">
        <is>
          <t>Ryan Mackenzie</t>
        </is>
      </c>
      <c r="D305" s="5" t="inlineStr">
        <is>
          <t>REP</t>
        </is>
      </c>
      <c r="E305" s="5" t="n"/>
      <c r="F305" s="5" t="inlineStr">
        <is>
          <t>Polling and research</t>
        </is>
      </c>
      <c r="G305" s="5" t="inlineStr">
        <is>
          <t>THE TARRANCE GROUP</t>
        </is>
      </c>
      <c r="H305" s="5" t="n"/>
      <c r="I305" s="5" t="inlineStr">
        <is>
          <t>ALEXANDRIA</t>
        </is>
      </c>
      <c r="J305" s="5" t="inlineStr">
        <is>
          <t>VA</t>
        </is>
      </c>
      <c r="K305" s="33" t="n">
        <v>38124.5</v>
      </c>
      <c r="L305" s="34" t="n">
        <v>2</v>
      </c>
      <c r="M305" s="5" t="inlineStr">
        <is>
          <t>2026-06-30</t>
        </is>
      </c>
    </row>
    <row r="306">
      <c r="A306" s="5" t="inlineStr">
        <is>
          <t>spending_top_payees</t>
        </is>
      </c>
      <c r="B306" s="5" t="n">
        <v>2026</v>
      </c>
      <c r="C306" s="5" t="inlineStr">
        <is>
          <t>Ryan Mackenzie</t>
        </is>
      </c>
      <c r="D306" s="5" t="inlineStr">
        <is>
          <t>REP</t>
        </is>
      </c>
      <c r="E306" s="5" t="n"/>
      <c r="F306" s="5" t="inlineStr">
        <is>
          <t>Office and administrative</t>
        </is>
      </c>
      <c r="G306" s="5" t="inlineStr">
        <is>
          <t>RIGHTWAY COMPLIANCE LLC</t>
        </is>
      </c>
      <c r="H306" s="5" t="n"/>
      <c r="I306" s="5" t="inlineStr">
        <is>
          <t>HARRISBURG</t>
        </is>
      </c>
      <c r="J306" s="5" t="inlineStr">
        <is>
          <t>PA</t>
        </is>
      </c>
      <c r="K306" s="33" t="n">
        <v>36592.58</v>
      </c>
      <c r="L306" s="34" t="n">
        <v>18</v>
      </c>
      <c r="M306" s="5" t="inlineStr">
        <is>
          <t>2026-06-30</t>
        </is>
      </c>
    </row>
    <row r="307">
      <c r="A307" s="5" t="inlineStr">
        <is>
          <t>spending_top_payees</t>
        </is>
      </c>
      <c r="B307" s="5" t="n">
        <v>2026</v>
      </c>
      <c r="C307" s="5" t="inlineStr">
        <is>
          <t>Ryan Mackenzie</t>
        </is>
      </c>
      <c r="D307" s="5" t="inlineStr">
        <is>
          <t>REP</t>
        </is>
      </c>
      <c r="E307" s="5" t="n"/>
      <c r="F307" s="5" t="inlineStr">
        <is>
          <t>Office and administrative</t>
        </is>
      </c>
      <c r="G307" s="5" t="inlineStr">
        <is>
          <t>MANAGED BY EQUINOX INC</t>
        </is>
      </c>
      <c r="H307" s="5" t="n"/>
      <c r="I307" s="5" t="inlineStr">
        <is>
          <t>BETHLEHEM</t>
        </is>
      </c>
      <c r="J307" s="5" t="inlineStr">
        <is>
          <t>PA</t>
        </is>
      </c>
      <c r="K307" s="33" t="n">
        <v>25875</v>
      </c>
      <c r="L307" s="34" t="n">
        <v>5</v>
      </c>
      <c r="M307" s="5" t="inlineStr">
        <is>
          <t>2026-06-30</t>
        </is>
      </c>
    </row>
    <row r="308">
      <c r="A308" s="5" t="inlineStr">
        <is>
          <t>spending_top_payees</t>
        </is>
      </c>
      <c r="B308" s="5" t="n">
        <v>2026</v>
      </c>
      <c r="C308" s="5" t="inlineStr">
        <is>
          <t>Ryan Mackenzie</t>
        </is>
      </c>
      <c r="D308" s="5" t="inlineStr">
        <is>
          <t>REP</t>
        </is>
      </c>
      <c r="E308" s="5" t="n"/>
      <c r="F308" s="5" t="inlineStr">
        <is>
          <t>Fundraising</t>
        </is>
      </c>
      <c r="G308" s="5" t="inlineStr">
        <is>
          <t>MARRIOTT GROUP</t>
        </is>
      </c>
      <c r="H308" s="5" t="n"/>
      <c r="I308" s="5" t="inlineStr">
        <is>
          <t>LEESBURG</t>
        </is>
      </c>
      <c r="J308" s="5" t="inlineStr">
        <is>
          <t>VA</t>
        </is>
      </c>
      <c r="K308" s="33" t="n">
        <v>24000</v>
      </c>
      <c r="L308" s="34" t="n">
        <v>8</v>
      </c>
      <c r="M308" s="5" t="inlineStr">
        <is>
          <t>2026-06-30</t>
        </is>
      </c>
    </row>
    <row r="309">
      <c r="A309" s="5" t="inlineStr">
        <is>
          <t>spending_top_payees</t>
        </is>
      </c>
      <c r="B309" s="5" t="n">
        <v>2026</v>
      </c>
      <c r="C309" s="5" t="inlineStr">
        <is>
          <t>Ryan Mackenzie</t>
        </is>
      </c>
      <c r="D309" s="5" t="inlineStr">
        <is>
          <t>REP</t>
        </is>
      </c>
      <c r="E309" s="5" t="n"/>
      <c r="F309" s="5" t="inlineStr">
        <is>
          <t>Fundraising</t>
        </is>
      </c>
      <c r="G309" s="5" t="inlineStr">
        <is>
          <t>ONPOINT DATA STRATEGY LLC</t>
        </is>
      </c>
      <c r="H309" s="5" t="n"/>
      <c r="I309" s="5" t="inlineStr">
        <is>
          <t>ASHBURN</t>
        </is>
      </c>
      <c r="J309" s="5" t="inlineStr">
        <is>
          <t>VA</t>
        </is>
      </c>
      <c r="K309" s="33" t="n">
        <v>20586.36</v>
      </c>
      <c r="L309" s="34" t="n">
        <v>18</v>
      </c>
      <c r="M309" s="5" t="inlineStr">
        <is>
          <t>2026-06-30</t>
        </is>
      </c>
    </row>
    <row r="310">
      <c r="A310" s="5" t="inlineStr">
        <is>
          <t>spending_top_payees</t>
        </is>
      </c>
      <c r="B310" s="5" t="n">
        <v>2026</v>
      </c>
      <c r="C310" s="5" t="inlineStr">
        <is>
          <t>Ryan Mackenzie</t>
        </is>
      </c>
      <c r="D310" s="5" t="inlineStr">
        <is>
          <t>REP</t>
        </is>
      </c>
      <c r="E310" s="5" t="n"/>
      <c r="F310" s="5" t="inlineStr">
        <is>
          <t>Travel</t>
        </is>
      </c>
      <c r="G310" s="5" t="inlineStr">
        <is>
          <t>MACKENZIE, RYAN</t>
        </is>
      </c>
      <c r="H310" s="5" t="n"/>
      <c r="I310" s="5" t="inlineStr">
        <is>
          <t>EMMAUS</t>
        </is>
      </c>
      <c r="J310" s="5" t="inlineStr">
        <is>
          <t>PA</t>
        </is>
      </c>
      <c r="K310" s="33" t="n">
        <v>20183.55</v>
      </c>
      <c r="L310" s="34" t="n">
        <v>36</v>
      </c>
      <c r="M310" s="5" t="inlineStr">
        <is>
          <t>2026-06-30</t>
        </is>
      </c>
    </row>
    <row r="311">
      <c r="A311" s="5" t="inlineStr">
        <is>
          <t>spending_by_payee_state</t>
        </is>
      </c>
      <c r="B311" s="5" t="n">
        <v>2026</v>
      </c>
      <c r="C311" s="5" t="inlineStr">
        <is>
          <t>Ryan Mackenzie</t>
        </is>
      </c>
      <c r="D311" s="5" t="inlineStr">
        <is>
          <t>REP</t>
        </is>
      </c>
      <c r="E311" s="5" t="n"/>
      <c r="F311" s="5" t="n"/>
      <c r="G311" s="5" t="n"/>
      <c r="H311" s="5" t="n"/>
      <c r="I311" s="5" t="n"/>
      <c r="J311" s="5" t="inlineStr">
        <is>
          <t>PA</t>
        </is>
      </c>
      <c r="K311" s="33" t="n">
        <v>459357.16</v>
      </c>
      <c r="L311" s="34" t="n">
        <v>424</v>
      </c>
      <c r="M311" s="5" t="inlineStr">
        <is>
          <t>2026-06-30</t>
        </is>
      </c>
    </row>
    <row r="312">
      <c r="A312" s="5" t="inlineStr">
        <is>
          <t>spending_by_payee_state</t>
        </is>
      </c>
      <c r="B312" s="5" t="n">
        <v>2026</v>
      </c>
      <c r="C312" s="5" t="inlineStr">
        <is>
          <t>Ryan Mackenzie</t>
        </is>
      </c>
      <c r="D312" s="5" t="inlineStr">
        <is>
          <t>REP</t>
        </is>
      </c>
      <c r="E312" s="5" t="n"/>
      <c r="F312" s="5" t="n"/>
      <c r="G312" s="5" t="n"/>
      <c r="H312" s="5" t="n"/>
      <c r="I312" s="5" t="n"/>
      <c r="J312" s="5" t="inlineStr">
        <is>
          <t>IL</t>
        </is>
      </c>
      <c r="K312" s="33" t="n">
        <v>335283.52</v>
      </c>
      <c r="L312" s="34" t="n">
        <v>113</v>
      </c>
      <c r="M312" s="5" t="inlineStr">
        <is>
          <t>2026-06-30</t>
        </is>
      </c>
    </row>
    <row r="313">
      <c r="A313" s="5" t="inlineStr">
        <is>
          <t>spending_by_payee_state</t>
        </is>
      </c>
      <c r="B313" s="5" t="n">
        <v>2026</v>
      </c>
      <c r="C313" s="5" t="inlineStr">
        <is>
          <t>Ryan Mackenzie</t>
        </is>
      </c>
      <c r="D313" s="5" t="inlineStr">
        <is>
          <t>REP</t>
        </is>
      </c>
      <c r="E313" s="5" t="n"/>
      <c r="F313" s="5" t="n"/>
      <c r="G313" s="5" t="n"/>
      <c r="H313" s="5" t="n"/>
      <c r="I313" s="5" t="n"/>
      <c r="J313" s="5" t="inlineStr">
        <is>
          <t>VA</t>
        </is>
      </c>
      <c r="K313" s="33" t="n">
        <v>317942.8</v>
      </c>
      <c r="L313" s="34" t="n">
        <v>224</v>
      </c>
      <c r="M313" s="5" t="inlineStr">
        <is>
          <t>2026-06-30</t>
        </is>
      </c>
    </row>
    <row r="314">
      <c r="A314" s="5" t="inlineStr">
        <is>
          <t>spending_by_payee_state</t>
        </is>
      </c>
      <c r="B314" s="5" t="n">
        <v>2026</v>
      </c>
      <c r="C314" s="5" t="inlineStr">
        <is>
          <t>Ryan Mackenzie</t>
        </is>
      </c>
      <c r="D314" s="5" t="inlineStr">
        <is>
          <t>REP</t>
        </is>
      </c>
      <c r="E314" s="5" t="n"/>
      <c r="F314" s="5" t="n"/>
      <c r="G314" s="5" t="n"/>
      <c r="H314" s="5" t="n"/>
      <c r="I314" s="5" t="n"/>
      <c r="J314" s="5" t="inlineStr">
        <is>
          <t>DC</t>
        </is>
      </c>
      <c r="K314" s="33" t="n">
        <v>242504.01</v>
      </c>
      <c r="L314" s="34" t="n">
        <v>81</v>
      </c>
      <c r="M314" s="5" t="inlineStr">
        <is>
          <t>2026-06-30</t>
        </is>
      </c>
    </row>
    <row r="315">
      <c r="A315" s="5" t="inlineStr">
        <is>
          <t>spending_by_payee_state</t>
        </is>
      </c>
      <c r="B315" s="5" t="n">
        <v>2026</v>
      </c>
      <c r="C315" s="5" t="inlineStr">
        <is>
          <t>Ryan Mackenzie</t>
        </is>
      </c>
      <c r="D315" s="5" t="inlineStr">
        <is>
          <t>REP</t>
        </is>
      </c>
      <c r="E315" s="5" t="n"/>
      <c r="F315" s="5" t="n"/>
      <c r="G315" s="5" t="n"/>
      <c r="H315" s="5" t="n"/>
      <c r="I315" s="5" t="n"/>
      <c r="J315" s="5" t="inlineStr">
        <is>
          <t>NY</t>
        </is>
      </c>
      <c r="K315" s="33" t="n">
        <v>17435.36</v>
      </c>
      <c r="L315" s="34" t="n">
        <v>17</v>
      </c>
      <c r="M315" s="5" t="inlineStr">
        <is>
          <t>2026-06-30</t>
        </is>
      </c>
    </row>
    <row r="316">
      <c r="A316" s="5" t="inlineStr">
        <is>
          <t>spending_by_payee_state</t>
        </is>
      </c>
      <c r="B316" s="5" t="n">
        <v>2026</v>
      </c>
      <c r="C316" s="5" t="inlineStr">
        <is>
          <t>Ryan Mackenzie</t>
        </is>
      </c>
      <c r="D316" s="5" t="inlineStr">
        <is>
          <t>REP</t>
        </is>
      </c>
      <c r="E316" s="5" t="n"/>
      <c r="F316" s="5" t="n"/>
      <c r="G316" s="5" t="n"/>
      <c r="H316" s="5" t="n"/>
      <c r="I316" s="5" t="n"/>
      <c r="J316" s="5" t="inlineStr">
        <is>
          <t>GA</t>
        </is>
      </c>
      <c r="K316" s="33" t="n">
        <v>17061.51</v>
      </c>
      <c r="L316" s="34" t="n">
        <v>42</v>
      </c>
      <c r="M316" s="5" t="inlineStr">
        <is>
          <t>2026-06-30</t>
        </is>
      </c>
    </row>
    <row r="317">
      <c r="A317" s="5" t="inlineStr">
        <is>
          <t>spending_by_payee_state</t>
        </is>
      </c>
      <c r="B317" s="5" t="n">
        <v>2026</v>
      </c>
      <c r="C317" s="5" t="inlineStr">
        <is>
          <t>Ryan Mackenzie</t>
        </is>
      </c>
      <c r="D317" s="5" t="inlineStr">
        <is>
          <t>REP</t>
        </is>
      </c>
      <c r="E317" s="5" t="n"/>
      <c r="F317" s="5" t="n"/>
      <c r="G317" s="5" t="n"/>
      <c r="H317" s="5" t="n"/>
      <c r="I317" s="5" t="n"/>
      <c r="J317" s="5" t="inlineStr">
        <is>
          <t>FL</t>
        </is>
      </c>
      <c r="K317" s="33" t="n">
        <v>15855.75</v>
      </c>
      <c r="L317" s="34" t="n">
        <v>17</v>
      </c>
      <c r="M317" s="5" t="inlineStr">
        <is>
          <t>2026-06-30</t>
        </is>
      </c>
    </row>
    <row r="318">
      <c r="A318" s="5" t="inlineStr">
        <is>
          <t>spending_by_payee_state</t>
        </is>
      </c>
      <c r="B318" s="5" t="n">
        <v>2026</v>
      </c>
      <c r="C318" s="5" t="inlineStr">
        <is>
          <t>Ryan Mackenzie</t>
        </is>
      </c>
      <c r="D318" s="5" t="inlineStr">
        <is>
          <t>REP</t>
        </is>
      </c>
      <c r="E318" s="5" t="n"/>
      <c r="F318" s="5" t="n"/>
      <c r="G318" s="5" t="n"/>
      <c r="H318" s="5" t="n"/>
      <c r="I318" s="5" t="n"/>
      <c r="J318" s="5" t="inlineStr">
        <is>
          <t>CA</t>
        </is>
      </c>
      <c r="K318" s="33" t="n">
        <v>15050.7</v>
      </c>
      <c r="L318" s="34" t="n">
        <v>59</v>
      </c>
      <c r="M318" s="5" t="inlineStr">
        <is>
          <t>2026-06-30</t>
        </is>
      </c>
    </row>
    <row r="319">
      <c r="A319" s="5" t="inlineStr">
        <is>
          <t>spending_by_payee_state</t>
        </is>
      </c>
      <c r="B319" s="5" t="n">
        <v>2026</v>
      </c>
      <c r="C319" s="5" t="inlineStr">
        <is>
          <t>Ryan Mackenzie</t>
        </is>
      </c>
      <c r="D319" s="5" t="inlineStr">
        <is>
          <t>REP</t>
        </is>
      </c>
      <c r="E319" s="5" t="n"/>
      <c r="F319" s="5" t="n"/>
      <c r="G319" s="5" t="n"/>
      <c r="H319" s="5" t="n"/>
      <c r="I319" s="5" t="n"/>
      <c r="J319" s="5" t="inlineStr">
        <is>
          <t>TX</t>
        </is>
      </c>
      <c r="K319" s="33" t="n">
        <v>14439.86</v>
      </c>
      <c r="L319" s="34" t="n">
        <v>67</v>
      </c>
      <c r="M319" s="5" t="inlineStr">
        <is>
          <t>2026-06-30</t>
        </is>
      </c>
    </row>
    <row r="320">
      <c r="A320" s="5" t="inlineStr">
        <is>
          <t>spending_by_payee_state</t>
        </is>
      </c>
      <c r="B320" s="5" t="n">
        <v>2026</v>
      </c>
      <c r="C320" s="5" t="inlineStr">
        <is>
          <t>Ryan Mackenzie</t>
        </is>
      </c>
      <c r="D320" s="5" t="inlineStr">
        <is>
          <t>REP</t>
        </is>
      </c>
      <c r="E320" s="5" t="n"/>
      <c r="F320" s="5" t="n"/>
      <c r="G320" s="5" t="n"/>
      <c r="H320" s="5" t="n"/>
      <c r="I320" s="5" t="n"/>
      <c r="J320" s="5" t="inlineStr">
        <is>
          <t>DE</t>
        </is>
      </c>
      <c r="K320" s="33" t="n">
        <v>12170.8</v>
      </c>
      <c r="L320" s="34" t="n">
        <v>10</v>
      </c>
      <c r="M320" s="5" t="inlineStr">
        <is>
          <t>2026-06-30</t>
        </is>
      </c>
    </row>
    <row r="321">
      <c r="A321" s="5" t="inlineStr">
        <is>
          <t>spending_by_payee_state</t>
        </is>
      </c>
      <c r="B321" s="5" t="n">
        <v>2026</v>
      </c>
      <c r="C321" s="5" t="inlineStr">
        <is>
          <t>Ryan Mackenzie</t>
        </is>
      </c>
      <c r="D321" s="5" t="inlineStr">
        <is>
          <t>REP</t>
        </is>
      </c>
      <c r="E321" s="5" t="n"/>
      <c r="F321" s="5" t="n"/>
      <c r="G321" s="5" t="n"/>
      <c r="H321" s="5" t="n"/>
      <c r="I321" s="5" t="n"/>
      <c r="J321" s="5" t="inlineStr">
        <is>
          <t>MA</t>
        </is>
      </c>
      <c r="K321" s="33" t="n">
        <v>7613.56</v>
      </c>
      <c r="L321" s="34" t="n">
        <v>56</v>
      </c>
      <c r="M321" s="5" t="inlineStr">
        <is>
          <t>2026-06-30</t>
        </is>
      </c>
    </row>
    <row r="322">
      <c r="A322" s="5" t="inlineStr">
        <is>
          <t>spending_by_payee_state</t>
        </is>
      </c>
      <c r="B322" s="5" t="n">
        <v>2026</v>
      </c>
      <c r="C322" s="5" t="inlineStr">
        <is>
          <t>Ryan Mackenzie</t>
        </is>
      </c>
      <c r="D322" s="5" t="inlineStr">
        <is>
          <t>REP</t>
        </is>
      </c>
      <c r="E322" s="5" t="n"/>
      <c r="F322" s="5" t="n"/>
      <c r="G322" s="5" t="n"/>
      <c r="H322" s="5" t="n"/>
      <c r="I322" s="5" t="n"/>
      <c r="J322" s="5" t="inlineStr">
        <is>
          <t>WY</t>
        </is>
      </c>
      <c r="K322" s="33" t="n">
        <v>6665.13</v>
      </c>
      <c r="L322" s="34" t="n">
        <v>22</v>
      </c>
      <c r="M322" s="5" t="inlineStr">
        <is>
          <t>2026-06-30</t>
        </is>
      </c>
    </row>
    <row r="323">
      <c r="A323" s="5" t="inlineStr">
        <is>
          <t>spending_by_payee_state</t>
        </is>
      </c>
      <c r="B323" s="5" t="n">
        <v>2026</v>
      </c>
      <c r="C323" s="5" t="inlineStr">
        <is>
          <t>Ryan Mackenzie</t>
        </is>
      </c>
      <c r="D323" s="5" t="inlineStr">
        <is>
          <t>REP</t>
        </is>
      </c>
      <c r="E323" s="5" t="n"/>
      <c r="F323" s="5" t="n"/>
      <c r="G323" s="5" t="n"/>
      <c r="H323" s="5" t="n"/>
      <c r="I323" s="5" t="n"/>
      <c r="J323" s="5" t="inlineStr">
        <is>
          <t>NH</t>
        </is>
      </c>
      <c r="K323" s="33" t="n">
        <v>5400</v>
      </c>
      <c r="L323" s="34" t="n">
        <v>2</v>
      </c>
      <c r="M323" s="5" t="inlineStr">
        <is>
          <t>2026-06-30</t>
        </is>
      </c>
    </row>
    <row r="324">
      <c r="A324" s="5" t="inlineStr">
        <is>
          <t>spending_by_payee_state</t>
        </is>
      </c>
      <c r="B324" s="5" t="n">
        <v>2026</v>
      </c>
      <c r="C324" s="5" t="inlineStr">
        <is>
          <t>Ryan Mackenzie</t>
        </is>
      </c>
      <c r="D324" s="5" t="inlineStr">
        <is>
          <t>REP</t>
        </is>
      </c>
      <c r="E324" s="5" t="n"/>
      <c r="F324" s="5" t="n"/>
      <c r="G324" s="5" t="n"/>
      <c r="H324" s="5" t="n"/>
      <c r="I324" s="5" t="n"/>
      <c r="J324" s="5" t="inlineStr">
        <is>
          <t>WA</t>
        </is>
      </c>
      <c r="K324" s="33" t="n">
        <v>5101.03</v>
      </c>
      <c r="L324" s="34" t="n">
        <v>20</v>
      </c>
      <c r="M324" s="5" t="inlineStr">
        <is>
          <t>2026-06-30</t>
        </is>
      </c>
    </row>
    <row r="325">
      <c r="A325" s="5" t="inlineStr">
        <is>
          <t>spending_by_payee_state</t>
        </is>
      </c>
      <c r="B325" s="5" t="n">
        <v>2026</v>
      </c>
      <c r="C325" s="5" t="inlineStr">
        <is>
          <t>Ryan Mackenzie</t>
        </is>
      </c>
      <c r="D325" s="5" t="inlineStr">
        <is>
          <t>REP</t>
        </is>
      </c>
      <c r="E325" s="5" t="n"/>
      <c r="F325" s="5" t="n"/>
      <c r="G325" s="5" t="n"/>
      <c r="H325" s="5" t="n"/>
      <c r="I325" s="5" t="n"/>
      <c r="J325" s="5" t="inlineStr">
        <is>
          <t>UT</t>
        </is>
      </c>
      <c r="K325" s="33" t="n">
        <v>4774.52</v>
      </c>
      <c r="L325" s="34" t="n">
        <v>2</v>
      </c>
      <c r="M325" s="5" t="inlineStr">
        <is>
          <t>2026-06-30</t>
        </is>
      </c>
    </row>
    <row r="326">
      <c r="A326" s="5" t="inlineStr">
        <is>
          <t>spending_by_payee_state</t>
        </is>
      </c>
      <c r="B326" s="5" t="n">
        <v>2026</v>
      </c>
      <c r="C326" s="5" t="inlineStr">
        <is>
          <t>Ryan Mackenzie</t>
        </is>
      </c>
      <c r="D326" s="5" t="inlineStr">
        <is>
          <t>REP</t>
        </is>
      </c>
      <c r="E326" s="5" t="n"/>
      <c r="F326" s="5" t="n"/>
      <c r="G326" s="5" t="n"/>
      <c r="H326" s="5" t="n"/>
      <c r="I326" s="5" t="n"/>
      <c r="J326" s="5" t="inlineStr">
        <is>
          <t>AR</t>
        </is>
      </c>
      <c r="K326" s="33" t="n">
        <v>2812.22</v>
      </c>
      <c r="L326" s="34" t="n">
        <v>25</v>
      </c>
      <c r="M326" s="5" t="inlineStr">
        <is>
          <t>2026-06-30</t>
        </is>
      </c>
    </row>
    <row r="327">
      <c r="A327" s="5" t="inlineStr">
        <is>
          <t>spending_by_payee_state</t>
        </is>
      </c>
      <c r="B327" s="5" t="n">
        <v>2026</v>
      </c>
      <c r="C327" s="5" t="inlineStr">
        <is>
          <t>Ryan Mackenzie</t>
        </is>
      </c>
      <c r="D327" s="5" t="inlineStr">
        <is>
          <t>REP</t>
        </is>
      </c>
      <c r="E327" s="5" t="n"/>
      <c r="F327" s="5" t="n"/>
      <c r="G327" s="5" t="n"/>
      <c r="H327" s="5" t="n"/>
      <c r="I327" s="5" t="n"/>
      <c r="J327" s="5" t="inlineStr">
        <is>
          <t>MT</t>
        </is>
      </c>
      <c r="K327" s="33" t="n">
        <v>2025</v>
      </c>
      <c r="L327" s="34" t="n">
        <v>1</v>
      </c>
      <c r="M327" s="5" t="inlineStr">
        <is>
          <t>2026-06-30</t>
        </is>
      </c>
    </row>
    <row r="328">
      <c r="A328" s="5" t="inlineStr">
        <is>
          <t>spending_by_payee_state</t>
        </is>
      </c>
      <c r="B328" s="5" t="n">
        <v>2026</v>
      </c>
      <c r="C328" s="5" t="inlineStr">
        <is>
          <t>Ryan Mackenzie</t>
        </is>
      </c>
      <c r="D328" s="5" t="inlineStr">
        <is>
          <t>REP</t>
        </is>
      </c>
      <c r="E328" s="5" t="n"/>
      <c r="F328" s="5" t="n"/>
      <c r="G328" s="5" t="n"/>
      <c r="H328" s="5" t="n"/>
      <c r="I328" s="5" t="n"/>
      <c r="J328" s="5" t="inlineStr">
        <is>
          <t>MD</t>
        </is>
      </c>
      <c r="K328" s="33" t="n">
        <v>1705.4</v>
      </c>
      <c r="L328" s="34" t="n">
        <v>10</v>
      </c>
      <c r="M328" s="5" t="inlineStr">
        <is>
          <t>2026-06-30</t>
        </is>
      </c>
    </row>
    <row r="329">
      <c r="A329" s="5" t="inlineStr">
        <is>
          <t>spending_by_payee_state</t>
        </is>
      </c>
      <c r="B329" s="5" t="n">
        <v>2026</v>
      </c>
      <c r="C329" s="5" t="inlineStr">
        <is>
          <t>Ryan Mackenzie</t>
        </is>
      </c>
      <c r="D329" s="5" t="inlineStr">
        <is>
          <t>REP</t>
        </is>
      </c>
      <c r="E329" s="5" t="n"/>
      <c r="F329" s="5" t="n"/>
      <c r="G329" s="5" t="n"/>
      <c r="H329" s="5" t="n"/>
      <c r="I329" s="5" t="n"/>
      <c r="J329" s="5" t="inlineStr">
        <is>
          <t>AZ</t>
        </is>
      </c>
      <c r="K329" s="33" t="n">
        <v>1202.74</v>
      </c>
      <c r="L329" s="34" t="n">
        <v>28</v>
      </c>
      <c r="M329" s="5" t="inlineStr">
        <is>
          <t>2026-06-30</t>
        </is>
      </c>
    </row>
    <row r="330">
      <c r="A330" s="5" t="inlineStr">
        <is>
          <t>spending_by_payee_state</t>
        </is>
      </c>
      <c r="B330" s="5" t="n">
        <v>2026</v>
      </c>
      <c r="C330" s="5" t="inlineStr">
        <is>
          <t>Ryan Mackenzie</t>
        </is>
      </c>
      <c r="D330" s="5" t="inlineStr">
        <is>
          <t>REP</t>
        </is>
      </c>
      <c r="E330" s="5" t="n"/>
      <c r="F330" s="5" t="n"/>
      <c r="G330" s="5" t="n"/>
      <c r="H330" s="5" t="n"/>
      <c r="I330" s="5" t="n"/>
      <c r="J330" s="5" t="inlineStr">
        <is>
          <t>AL</t>
        </is>
      </c>
      <c r="K330" s="33" t="n">
        <v>950.12</v>
      </c>
      <c r="L330" s="34" t="n">
        <v>14</v>
      </c>
      <c r="M330" s="5" t="inlineStr">
        <is>
          <t>2026-06-30</t>
        </is>
      </c>
    </row>
    <row r="331">
      <c r="A331" s="5" t="inlineStr">
        <is>
          <t>spending_by_payee_state</t>
        </is>
      </c>
      <c r="B331" s="5" t="n">
        <v>2026</v>
      </c>
      <c r="C331" s="5" t="inlineStr">
        <is>
          <t>Ryan Mackenzie</t>
        </is>
      </c>
      <c r="D331" s="5" t="inlineStr">
        <is>
          <t>REP</t>
        </is>
      </c>
      <c r="E331" s="5" t="n"/>
      <c r="F331" s="5" t="n"/>
      <c r="G331" s="5" t="n"/>
      <c r="H331" s="5" t="n"/>
      <c r="I331" s="5" t="n"/>
      <c r="J331" s="5" t="inlineStr">
        <is>
          <t>NJ</t>
        </is>
      </c>
      <c r="K331" s="33" t="n">
        <v>590</v>
      </c>
      <c r="L331" s="34" t="n">
        <v>1</v>
      </c>
      <c r="M331" s="5" t="inlineStr">
        <is>
          <t>2026-06-30</t>
        </is>
      </c>
    </row>
    <row r="332">
      <c r="A332" s="5" t="inlineStr">
        <is>
          <t>spending_by_payee_state</t>
        </is>
      </c>
      <c r="B332" s="5" t="n">
        <v>2026</v>
      </c>
      <c r="C332" s="5" t="inlineStr">
        <is>
          <t>Ryan Mackenzie</t>
        </is>
      </c>
      <c r="D332" s="5" t="inlineStr">
        <is>
          <t>REP</t>
        </is>
      </c>
      <c r="E332" s="5" t="n"/>
      <c r="F332" s="5" t="n"/>
      <c r="G332" s="5" t="n"/>
      <c r="H332" s="5" t="n"/>
      <c r="I332" s="5" t="n"/>
      <c r="J332" s="5" t="inlineStr">
        <is>
          <t>MN</t>
        </is>
      </c>
      <c r="K332" s="33" t="n">
        <v>529.99</v>
      </c>
      <c r="L332" s="34" t="n">
        <v>1</v>
      </c>
      <c r="M332" s="5" t="inlineStr">
        <is>
          <t>2026-06-30</t>
        </is>
      </c>
    </row>
    <row r="333">
      <c r="A333" s="5" t="inlineStr">
        <is>
          <t>spending_by_payee_state</t>
        </is>
      </c>
      <c r="B333" s="5" t="n">
        <v>2026</v>
      </c>
      <c r="C333" s="5" t="inlineStr">
        <is>
          <t>Ryan Mackenzie</t>
        </is>
      </c>
      <c r="D333" s="5" t="inlineStr">
        <is>
          <t>REP</t>
        </is>
      </c>
      <c r="E333" s="5" t="n"/>
      <c r="F333" s="5" t="n"/>
      <c r="G333" s="5" t="n"/>
      <c r="H333" s="5" t="n"/>
      <c r="I333" s="5" t="n"/>
      <c r="J333" s="5" t="inlineStr">
        <is>
          <t>IA</t>
        </is>
      </c>
      <c r="K333" s="33" t="n">
        <v>335</v>
      </c>
      <c r="L333" s="34" t="n">
        <v>1</v>
      </c>
      <c r="M333" s="5" t="inlineStr">
        <is>
          <t>2026-06-30</t>
        </is>
      </c>
    </row>
    <row r="334">
      <c r="A334" s="5" t="inlineStr">
        <is>
          <t>spending_by_payee_state</t>
        </is>
      </c>
      <c r="B334" s="5" t="n">
        <v>2026</v>
      </c>
      <c r="C334" s="5" t="inlineStr">
        <is>
          <t>Ryan Mackenzie</t>
        </is>
      </c>
      <c r="D334" s="5" t="inlineStr">
        <is>
          <t>REP</t>
        </is>
      </c>
      <c r="E334" s="5" t="n"/>
      <c r="F334" s="5" t="n"/>
      <c r="G334" s="5" t="n"/>
      <c r="H334" s="5" t="n"/>
      <c r="I334" s="5" t="n"/>
      <c r="J334" s="5" t="inlineStr">
        <is>
          <t>CO</t>
        </is>
      </c>
      <c r="K334" s="33" t="n">
        <v>219.98</v>
      </c>
      <c r="L334" s="34" t="n">
        <v>1</v>
      </c>
      <c r="M334" s="5" t="inlineStr">
        <is>
          <t>2026-06-30</t>
        </is>
      </c>
    </row>
    <row r="335">
      <c r="A335" s="5" t="inlineStr">
        <is>
          <t>spending_by_payee_state</t>
        </is>
      </c>
      <c r="B335" s="5" t="n">
        <v>2026</v>
      </c>
      <c r="C335" s="5" t="inlineStr">
        <is>
          <t>Ryan Mackenzie</t>
        </is>
      </c>
      <c r="D335" s="5" t="inlineStr">
        <is>
          <t>REP</t>
        </is>
      </c>
      <c r="E335" s="5" t="n"/>
      <c r="F335" s="5" t="n"/>
      <c r="G335" s="5" t="n"/>
      <c r="H335" s="5" t="n"/>
      <c r="I335" s="5" t="n"/>
      <c r="J335" s="5" t="inlineStr">
        <is>
          <t>LA</t>
        </is>
      </c>
      <c r="K335" s="33" t="n">
        <v>136.61</v>
      </c>
      <c r="L335" s="34" t="n">
        <v>10</v>
      </c>
      <c r="M335" s="5" t="inlineStr">
        <is>
          <t>2026-06-30</t>
        </is>
      </c>
    </row>
    <row r="336">
      <c r="A336" s="5" t="inlineStr">
        <is>
          <t>spending_by_payee_state</t>
        </is>
      </c>
      <c r="B336" s="5" t="n">
        <v>2026</v>
      </c>
      <c r="C336" s="5" t="inlineStr">
        <is>
          <t>Ryan Mackenzie</t>
        </is>
      </c>
      <c r="D336" s="5" t="inlineStr">
        <is>
          <t>REP</t>
        </is>
      </c>
      <c r="E336" s="5" t="n"/>
      <c r="F336" s="5" t="n"/>
      <c r="G336" s="5" t="n"/>
      <c r="H336" s="5" t="n"/>
      <c r="I336" s="5" t="n"/>
      <c r="J336" s="5" t="inlineStr">
        <is>
          <t>MI</t>
        </is>
      </c>
      <c r="K336" s="33" t="n">
        <v>125.25</v>
      </c>
      <c r="L336" s="34" t="n">
        <v>8</v>
      </c>
      <c r="M336" s="5" t="inlineStr">
        <is>
          <t>2026-06-30</t>
        </is>
      </c>
    </row>
    <row r="337">
      <c r="A337" s="5" t="inlineStr">
        <is>
          <t>spending_by_payee_state</t>
        </is>
      </c>
      <c r="B337" s="5" t="n">
        <v>2026</v>
      </c>
      <c r="C337" s="5" t="inlineStr">
        <is>
          <t>Ryan Mackenzie</t>
        </is>
      </c>
      <c r="D337" s="5" t="inlineStr">
        <is>
          <t>REP</t>
        </is>
      </c>
      <c r="E337" s="5" t="n"/>
      <c r="F337" s="5" t="n"/>
      <c r="G337" s="5" t="n"/>
      <c r="H337" s="5" t="n"/>
      <c r="I337" s="5" t="n"/>
      <c r="J337" s="5" t="inlineStr">
        <is>
          <t>OK</t>
        </is>
      </c>
      <c r="K337" s="33" t="n">
        <v>120.53</v>
      </c>
      <c r="L337" s="34" t="n">
        <v>1</v>
      </c>
      <c r="M337" s="5" t="inlineStr">
        <is>
          <t>2026-06-30</t>
        </is>
      </c>
    </row>
    <row r="338">
      <c r="A338" s="5" t="inlineStr">
        <is>
          <t>spending_by_payee_state</t>
        </is>
      </c>
      <c r="B338" s="5" t="n">
        <v>2026</v>
      </c>
      <c r="C338" s="5" t="inlineStr">
        <is>
          <t>Ryan Mackenzie</t>
        </is>
      </c>
      <c r="D338" s="5" t="inlineStr">
        <is>
          <t>REP</t>
        </is>
      </c>
      <c r="E338" s="5" t="n"/>
      <c r="F338" s="5" t="n"/>
      <c r="G338" s="5" t="n"/>
      <c r="H338" s="5" t="n"/>
      <c r="I338" s="5" t="n"/>
      <c r="J338" s="5" t="inlineStr">
        <is>
          <t>KS</t>
        </is>
      </c>
      <c r="K338" s="33" t="n">
        <v>2.1</v>
      </c>
      <c r="L338" s="34" t="n">
        <v>4</v>
      </c>
      <c r="M338" s="5" t="inlineStr">
        <is>
          <t>2026-06-30</t>
        </is>
      </c>
    </row>
    <row r="339">
      <c r="A339" s="5" t="inlineStr">
        <is>
          <t>contributions_by_state</t>
        </is>
      </c>
      <c r="B339" s="5" t="n">
        <v>2026</v>
      </c>
      <c r="C339" s="5" t="inlineStr">
        <is>
          <t>Ryan Mackenzie</t>
        </is>
      </c>
      <c r="D339" s="5" t="inlineStr">
        <is>
          <t>REP</t>
        </is>
      </c>
      <c r="E339" s="5" t="n"/>
      <c r="F339" s="5" t="n"/>
      <c r="G339" s="5" t="n"/>
      <c r="H339" s="5" t="n"/>
      <c r="I339" s="5" t="n"/>
      <c r="J339" s="5" t="inlineStr">
        <is>
          <t>PA</t>
        </is>
      </c>
      <c r="K339" s="33" t="n">
        <v>705177.53</v>
      </c>
      <c r="L339" s="34" t="n">
        <v>1185</v>
      </c>
      <c r="M339" s="5" t="inlineStr">
        <is>
          <t>2026-06-30</t>
        </is>
      </c>
    </row>
    <row r="340">
      <c r="A340" s="5" t="inlineStr">
        <is>
          <t>contributions_by_state</t>
        </is>
      </c>
      <c r="B340" s="5" t="n">
        <v>2026</v>
      </c>
      <c r="C340" s="5" t="inlineStr">
        <is>
          <t>Ryan Mackenzie</t>
        </is>
      </c>
      <c r="D340" s="5" t="inlineStr">
        <is>
          <t>REP</t>
        </is>
      </c>
      <c r="E340" s="5" t="n"/>
      <c r="F340" s="5" t="n"/>
      <c r="G340" s="5" t="n"/>
      <c r="H340" s="5" t="n"/>
      <c r="I340" s="5" t="n"/>
      <c r="J340" s="5" t="inlineStr">
        <is>
          <t>FL</t>
        </is>
      </c>
      <c r="K340" s="33" t="n">
        <v>498858.16</v>
      </c>
      <c r="L340" s="34" t="n">
        <v>1923</v>
      </c>
      <c r="M340" s="5" t="inlineStr">
        <is>
          <t>2026-06-30</t>
        </is>
      </c>
    </row>
    <row r="341">
      <c r="A341" s="5" t="inlineStr">
        <is>
          <t>contributions_by_state</t>
        </is>
      </c>
      <c r="B341" s="5" t="n">
        <v>2026</v>
      </c>
      <c r="C341" s="5" t="inlineStr">
        <is>
          <t>Ryan Mackenzie</t>
        </is>
      </c>
      <c r="D341" s="5" t="inlineStr">
        <is>
          <t>REP</t>
        </is>
      </c>
      <c r="E341" s="5" t="n"/>
      <c r="F341" s="5" t="n"/>
      <c r="G341" s="5" t="n"/>
      <c r="H341" s="5" t="n"/>
      <c r="I341" s="5" t="n"/>
      <c r="J341" s="5" t="inlineStr">
        <is>
          <t>TX</t>
        </is>
      </c>
      <c r="K341" s="33" t="n">
        <v>392044.34</v>
      </c>
      <c r="L341" s="34" t="n">
        <v>2187</v>
      </c>
      <c r="M341" s="5" t="inlineStr">
        <is>
          <t>2026-06-30</t>
        </is>
      </c>
    </row>
    <row r="342">
      <c r="A342" s="5" t="inlineStr">
        <is>
          <t>contributions_by_state</t>
        </is>
      </c>
      <c r="B342" s="5" t="n">
        <v>2026</v>
      </c>
      <c r="C342" s="5" t="inlineStr">
        <is>
          <t>Ryan Mackenzie</t>
        </is>
      </c>
      <c r="D342" s="5" t="inlineStr">
        <is>
          <t>REP</t>
        </is>
      </c>
      <c r="E342" s="5" t="n"/>
      <c r="F342" s="5" t="n"/>
      <c r="G342" s="5" t="n"/>
      <c r="H342" s="5" t="n"/>
      <c r="I342" s="5" t="n"/>
      <c r="J342" s="5" t="inlineStr">
        <is>
          <t>NY</t>
        </is>
      </c>
      <c r="K342" s="33" t="n">
        <v>219095.46</v>
      </c>
      <c r="L342" s="34" t="n">
        <v>420</v>
      </c>
      <c r="M342" s="5" t="inlineStr">
        <is>
          <t>2026-06-30</t>
        </is>
      </c>
    </row>
    <row r="343">
      <c r="A343" s="5" t="inlineStr">
        <is>
          <t>contributions_by_state</t>
        </is>
      </c>
      <c r="B343" s="5" t="n">
        <v>2026</v>
      </c>
      <c r="C343" s="5" t="inlineStr">
        <is>
          <t>Ryan Mackenzie</t>
        </is>
      </c>
      <c r="D343" s="5" t="inlineStr">
        <is>
          <t>REP</t>
        </is>
      </c>
      <c r="E343" s="5" t="n"/>
      <c r="F343" s="5" t="n"/>
      <c r="G343" s="5" t="n"/>
      <c r="H343" s="5" t="n"/>
      <c r="I343" s="5" t="n"/>
      <c r="J343" s="5" t="inlineStr">
        <is>
          <t>CA</t>
        </is>
      </c>
      <c r="K343" s="33" t="n">
        <v>189336.51</v>
      </c>
      <c r="L343" s="34" t="n">
        <v>1371</v>
      </c>
      <c r="M343" s="5" t="inlineStr">
        <is>
          <t>2026-06-30</t>
        </is>
      </c>
    </row>
    <row r="344">
      <c r="A344" s="5" t="inlineStr">
        <is>
          <t>contributions_by_state</t>
        </is>
      </c>
      <c r="B344" s="5" t="n">
        <v>2026</v>
      </c>
      <c r="C344" s="5" t="inlineStr">
        <is>
          <t>Ryan Mackenzie</t>
        </is>
      </c>
      <c r="D344" s="5" t="inlineStr">
        <is>
          <t>REP</t>
        </is>
      </c>
      <c r="E344" s="5" t="n"/>
      <c r="F344" s="5" t="n"/>
      <c r="G344" s="5" t="n"/>
      <c r="H344" s="5" t="n"/>
      <c r="I344" s="5" t="n"/>
      <c r="J344" s="5" t="inlineStr">
        <is>
          <t>LA</t>
        </is>
      </c>
      <c r="K344" s="33" t="n">
        <v>96564.66</v>
      </c>
      <c r="L344" s="34" t="n">
        <v>230</v>
      </c>
      <c r="M344" s="5" t="inlineStr">
        <is>
          <t>2026-06-30</t>
        </is>
      </c>
    </row>
    <row r="345">
      <c r="A345" s="5" t="inlineStr">
        <is>
          <t>contributions_by_state</t>
        </is>
      </c>
      <c r="B345" s="5" t="n">
        <v>2026</v>
      </c>
      <c r="C345" s="5" t="inlineStr">
        <is>
          <t>Ryan Mackenzie</t>
        </is>
      </c>
      <c r="D345" s="5" t="inlineStr">
        <is>
          <t>REP</t>
        </is>
      </c>
      <c r="E345" s="5" t="n"/>
      <c r="F345" s="5" t="n"/>
      <c r="G345" s="5" t="n"/>
      <c r="H345" s="5" t="n"/>
      <c r="I345" s="5" t="n"/>
      <c r="J345" s="5" t="inlineStr">
        <is>
          <t>IL</t>
        </is>
      </c>
      <c r="K345" s="33" t="n">
        <v>82720.37</v>
      </c>
      <c r="L345" s="34" t="n">
        <v>404</v>
      </c>
      <c r="M345" s="5" t="inlineStr">
        <is>
          <t>2026-06-30</t>
        </is>
      </c>
    </row>
    <row r="346">
      <c r="A346" s="5" t="inlineStr">
        <is>
          <t>contributions_by_state</t>
        </is>
      </c>
      <c r="B346" s="5" t="n">
        <v>2026</v>
      </c>
      <c r="C346" s="5" t="inlineStr">
        <is>
          <t>Ryan Mackenzie</t>
        </is>
      </c>
      <c r="D346" s="5" t="inlineStr">
        <is>
          <t>REP</t>
        </is>
      </c>
      <c r="E346" s="5" t="n"/>
      <c r="F346" s="5" t="n"/>
      <c r="G346" s="5" t="n"/>
      <c r="H346" s="5" t="n"/>
      <c r="I346" s="5" t="n"/>
      <c r="J346" s="5" t="inlineStr">
        <is>
          <t>VA</t>
        </is>
      </c>
      <c r="K346" s="33" t="n">
        <v>80077.28</v>
      </c>
      <c r="L346" s="34" t="n">
        <v>432</v>
      </c>
      <c r="M346" s="5" t="inlineStr">
        <is>
          <t>2026-06-30</t>
        </is>
      </c>
    </row>
    <row r="347">
      <c r="A347" s="5" t="inlineStr">
        <is>
          <t>contributions_by_state</t>
        </is>
      </c>
      <c r="B347" s="5" t="n">
        <v>2026</v>
      </c>
      <c r="C347" s="5" t="inlineStr">
        <is>
          <t>Ryan Mackenzie</t>
        </is>
      </c>
      <c r="D347" s="5" t="inlineStr">
        <is>
          <t>REP</t>
        </is>
      </c>
      <c r="E347" s="5" t="n"/>
      <c r="F347" s="5" t="n"/>
      <c r="G347" s="5" t="n"/>
      <c r="H347" s="5" t="n"/>
      <c r="I347" s="5" t="n"/>
      <c r="J347" s="5" t="inlineStr">
        <is>
          <t>TN</t>
        </is>
      </c>
      <c r="K347" s="33" t="n">
        <v>54019.6</v>
      </c>
      <c r="L347" s="34" t="n">
        <v>252</v>
      </c>
      <c r="M347" s="5" t="inlineStr">
        <is>
          <t>2026-06-30</t>
        </is>
      </c>
    </row>
    <row r="348">
      <c r="A348" s="5" t="inlineStr">
        <is>
          <t>contributions_by_state</t>
        </is>
      </c>
      <c r="B348" s="5" t="n">
        <v>2026</v>
      </c>
      <c r="C348" s="5" t="inlineStr">
        <is>
          <t>Ryan Mackenzie</t>
        </is>
      </c>
      <c r="D348" s="5" t="inlineStr">
        <is>
          <t>REP</t>
        </is>
      </c>
      <c r="E348" s="5" t="n"/>
      <c r="F348" s="5" t="n"/>
      <c r="G348" s="5" t="n"/>
      <c r="H348" s="5" t="n"/>
      <c r="I348" s="5" t="n"/>
      <c r="J348" s="5" t="inlineStr">
        <is>
          <t>MA</t>
        </is>
      </c>
      <c r="K348" s="33" t="n">
        <v>53894.65</v>
      </c>
      <c r="L348" s="34" t="n">
        <v>65</v>
      </c>
      <c r="M348" s="5" t="inlineStr">
        <is>
          <t>2026-06-30</t>
        </is>
      </c>
    </row>
    <row r="349">
      <c r="A349" s="5" t="inlineStr">
        <is>
          <t>contributions_by_state</t>
        </is>
      </c>
      <c r="B349" s="5" t="n">
        <v>2026</v>
      </c>
      <c r="C349" s="5" t="inlineStr">
        <is>
          <t>Ryan Mackenzie</t>
        </is>
      </c>
      <c r="D349" s="5" t="inlineStr">
        <is>
          <t>REP</t>
        </is>
      </c>
      <c r="E349" s="5" t="n"/>
      <c r="F349" s="5" t="n"/>
      <c r="G349" s="5" t="n"/>
      <c r="H349" s="5" t="n"/>
      <c r="I349" s="5" t="n"/>
      <c r="J349" s="5" t="inlineStr">
        <is>
          <t>MN</t>
        </is>
      </c>
      <c r="K349" s="33" t="n">
        <v>52964.24</v>
      </c>
      <c r="L349" s="34" t="n">
        <v>159</v>
      </c>
      <c r="M349" s="5" t="inlineStr">
        <is>
          <t>2026-06-30</t>
        </is>
      </c>
    </row>
    <row r="350">
      <c r="A350" s="5" t="inlineStr">
        <is>
          <t>contributions_by_state</t>
        </is>
      </c>
      <c r="B350" s="5" t="n">
        <v>2026</v>
      </c>
      <c r="C350" s="5" t="inlineStr">
        <is>
          <t>Ryan Mackenzie</t>
        </is>
      </c>
      <c r="D350" s="5" t="inlineStr">
        <is>
          <t>REP</t>
        </is>
      </c>
      <c r="E350" s="5" t="n"/>
      <c r="F350" s="5" t="n"/>
      <c r="G350" s="5" t="n"/>
      <c r="H350" s="5" t="n"/>
      <c r="I350" s="5" t="n"/>
      <c r="J350" s="5" t="inlineStr">
        <is>
          <t>CO</t>
        </is>
      </c>
      <c r="K350" s="33" t="n">
        <v>51439.42</v>
      </c>
      <c r="L350" s="34" t="n">
        <v>200</v>
      </c>
      <c r="M350" s="5" t="inlineStr">
        <is>
          <t>2026-06-30</t>
        </is>
      </c>
    </row>
    <row r="351">
      <c r="A351" s="5" t="inlineStr">
        <is>
          <t>contributions_by_state</t>
        </is>
      </c>
      <c r="B351" s="5" t="n">
        <v>2026</v>
      </c>
      <c r="C351" s="5" t="inlineStr">
        <is>
          <t>Ryan Mackenzie</t>
        </is>
      </c>
      <c r="D351" s="5" t="inlineStr">
        <is>
          <t>REP</t>
        </is>
      </c>
      <c r="E351" s="5" t="n"/>
      <c r="F351" s="5" t="n"/>
      <c r="G351" s="5" t="n"/>
      <c r="H351" s="5" t="n"/>
      <c r="I351" s="5" t="n"/>
      <c r="J351" s="5" t="inlineStr">
        <is>
          <t>OH</t>
        </is>
      </c>
      <c r="K351" s="33" t="n">
        <v>41255.66</v>
      </c>
      <c r="L351" s="34" t="n">
        <v>288</v>
      </c>
      <c r="M351" s="5" t="inlineStr">
        <is>
          <t>2026-06-30</t>
        </is>
      </c>
    </row>
    <row r="352">
      <c r="A352" s="5" t="inlineStr">
        <is>
          <t>contributions_by_state</t>
        </is>
      </c>
      <c r="B352" s="5" t="n">
        <v>2026</v>
      </c>
      <c r="C352" s="5" t="inlineStr">
        <is>
          <t>Ryan Mackenzie</t>
        </is>
      </c>
      <c r="D352" s="5" t="inlineStr">
        <is>
          <t>REP</t>
        </is>
      </c>
      <c r="E352" s="5" t="n"/>
      <c r="F352" s="5" t="n"/>
      <c r="G352" s="5" t="n"/>
      <c r="H352" s="5" t="n"/>
      <c r="I352" s="5" t="n"/>
      <c r="J352" s="5" t="inlineStr">
        <is>
          <t>MI</t>
        </is>
      </c>
      <c r="K352" s="33" t="n">
        <v>38953.07</v>
      </c>
      <c r="L352" s="34" t="n">
        <v>273</v>
      </c>
      <c r="M352" s="5" t="inlineStr">
        <is>
          <t>2026-06-30</t>
        </is>
      </c>
    </row>
    <row r="353">
      <c r="A353" s="5" t="inlineStr">
        <is>
          <t>contributions_by_state</t>
        </is>
      </c>
      <c r="B353" s="5" t="n">
        <v>2026</v>
      </c>
      <c r="C353" s="5" t="inlineStr">
        <is>
          <t>Ryan Mackenzie</t>
        </is>
      </c>
      <c r="D353" s="5" t="inlineStr">
        <is>
          <t>REP</t>
        </is>
      </c>
      <c r="E353" s="5" t="n"/>
      <c r="F353" s="5" t="n"/>
      <c r="G353" s="5" t="n"/>
      <c r="H353" s="5" t="n"/>
      <c r="I353" s="5" t="n"/>
      <c r="J353" s="5" t="inlineStr">
        <is>
          <t>CT</t>
        </is>
      </c>
      <c r="K353" s="33" t="n">
        <v>38941.97</v>
      </c>
      <c r="L353" s="34" t="n">
        <v>98</v>
      </c>
      <c r="M353" s="5" t="inlineStr">
        <is>
          <t>2026-06-30</t>
        </is>
      </c>
    </row>
    <row r="354">
      <c r="A354" s="5" t="inlineStr">
        <is>
          <t>contributions_by_state</t>
        </is>
      </c>
      <c r="B354" s="5" t="n">
        <v>2026</v>
      </c>
      <c r="C354" s="5" t="inlineStr">
        <is>
          <t>Ryan Mackenzie</t>
        </is>
      </c>
      <c r="D354" s="5" t="inlineStr">
        <is>
          <t>REP</t>
        </is>
      </c>
      <c r="E354" s="5" t="n"/>
      <c r="F354" s="5" t="n"/>
      <c r="G354" s="5" t="n"/>
      <c r="H354" s="5" t="n"/>
      <c r="I354" s="5" t="n"/>
      <c r="J354" s="5" t="inlineStr">
        <is>
          <t>NV</t>
        </is>
      </c>
      <c r="K354" s="33" t="n">
        <v>32861.41</v>
      </c>
      <c r="L354" s="34" t="n">
        <v>110</v>
      </c>
      <c r="M354" s="5" t="inlineStr">
        <is>
          <t>2026-06-30</t>
        </is>
      </c>
    </row>
    <row r="355">
      <c r="A355" s="5" t="inlineStr">
        <is>
          <t>contributions_by_state</t>
        </is>
      </c>
      <c r="B355" s="5" t="n">
        <v>2026</v>
      </c>
      <c r="C355" s="5" t="inlineStr">
        <is>
          <t>Ryan Mackenzie</t>
        </is>
      </c>
      <c r="D355" s="5" t="inlineStr">
        <is>
          <t>REP</t>
        </is>
      </c>
      <c r="E355" s="5" t="n"/>
      <c r="F355" s="5" t="n"/>
      <c r="G355" s="5" t="n"/>
      <c r="H355" s="5" t="n"/>
      <c r="I355" s="5" t="n"/>
      <c r="J355" s="5" t="inlineStr">
        <is>
          <t>DC</t>
        </is>
      </c>
      <c r="K355" s="33" t="n">
        <v>27297.22</v>
      </c>
      <c r="L355" s="34" t="n">
        <v>22</v>
      </c>
      <c r="M355" s="5" t="inlineStr">
        <is>
          <t>2026-06-30</t>
        </is>
      </c>
    </row>
    <row r="356">
      <c r="A356" s="5" t="inlineStr">
        <is>
          <t>contributions_by_state</t>
        </is>
      </c>
      <c r="B356" s="5" t="n">
        <v>2026</v>
      </c>
      <c r="C356" s="5" t="inlineStr">
        <is>
          <t>Ryan Mackenzie</t>
        </is>
      </c>
      <c r="D356" s="5" t="inlineStr">
        <is>
          <t>REP</t>
        </is>
      </c>
      <c r="E356" s="5" t="n"/>
      <c r="F356" s="5" t="n"/>
      <c r="G356" s="5" t="n"/>
      <c r="H356" s="5" t="n"/>
      <c r="I356" s="5" t="n"/>
      <c r="J356" s="5" t="inlineStr">
        <is>
          <t>MO</t>
        </is>
      </c>
      <c r="K356" s="33" t="n">
        <v>27274.88</v>
      </c>
      <c r="L356" s="34" t="n">
        <v>75</v>
      </c>
      <c r="M356" s="5" t="inlineStr">
        <is>
          <t>2026-06-30</t>
        </is>
      </c>
    </row>
    <row r="357">
      <c r="A357" s="5" t="inlineStr">
        <is>
          <t>contributions_by_state</t>
        </is>
      </c>
      <c r="B357" s="5" t="n">
        <v>2026</v>
      </c>
      <c r="C357" s="5" t="inlineStr">
        <is>
          <t>Ryan Mackenzie</t>
        </is>
      </c>
      <c r="D357" s="5" t="inlineStr">
        <is>
          <t>REP</t>
        </is>
      </c>
      <c r="E357" s="5" t="n"/>
      <c r="F357" s="5" t="n"/>
      <c r="G357" s="5" t="n"/>
      <c r="H357" s="5" t="n"/>
      <c r="I357" s="5" t="n"/>
      <c r="J357" s="5" t="inlineStr">
        <is>
          <t>AR</t>
        </is>
      </c>
      <c r="K357" s="33" t="n">
        <v>27266.84</v>
      </c>
      <c r="L357" s="34" t="n">
        <v>84</v>
      </c>
      <c r="M357" s="5" t="inlineStr">
        <is>
          <t>2026-06-30</t>
        </is>
      </c>
    </row>
    <row r="358">
      <c r="A358" s="5" t="inlineStr">
        <is>
          <t>contributions_by_state</t>
        </is>
      </c>
      <c r="B358" s="5" t="n">
        <v>2026</v>
      </c>
      <c r="C358" s="5" t="inlineStr">
        <is>
          <t>Ryan Mackenzie</t>
        </is>
      </c>
      <c r="D358" s="5" t="inlineStr">
        <is>
          <t>REP</t>
        </is>
      </c>
      <c r="E358" s="5" t="n"/>
      <c r="F358" s="5" t="n"/>
      <c r="G358" s="5" t="n"/>
      <c r="H358" s="5" t="n"/>
      <c r="I358" s="5" t="n"/>
      <c r="J358" s="5" t="inlineStr">
        <is>
          <t>GA</t>
        </is>
      </c>
      <c r="K358" s="33" t="n">
        <v>24207.04</v>
      </c>
      <c r="L358" s="34" t="n">
        <v>226</v>
      </c>
      <c r="M358" s="5" t="inlineStr">
        <is>
          <t>2026-06-30</t>
        </is>
      </c>
    </row>
    <row r="359">
      <c r="A359" s="5" t="inlineStr">
        <is>
          <t>contributions_by_state</t>
        </is>
      </c>
      <c r="B359" s="5" t="n">
        <v>2026</v>
      </c>
      <c r="C359" s="5" t="inlineStr">
        <is>
          <t>Ryan Mackenzie</t>
        </is>
      </c>
      <c r="D359" s="5" t="inlineStr">
        <is>
          <t>REP</t>
        </is>
      </c>
      <c r="E359" s="5" t="n"/>
      <c r="F359" s="5" t="n"/>
      <c r="G359" s="5" t="n"/>
      <c r="H359" s="5" t="n"/>
      <c r="I359" s="5" t="n"/>
      <c r="J359" s="5" t="inlineStr">
        <is>
          <t>AZ</t>
        </is>
      </c>
      <c r="K359" s="33" t="n">
        <v>23455.14</v>
      </c>
      <c r="L359" s="34" t="n">
        <v>226</v>
      </c>
      <c r="M359" s="5" t="inlineStr">
        <is>
          <t>2026-06-30</t>
        </is>
      </c>
    </row>
    <row r="360">
      <c r="A360" s="5" t="inlineStr">
        <is>
          <t>contributions_by_state</t>
        </is>
      </c>
      <c r="B360" s="5" t="n">
        <v>2026</v>
      </c>
      <c r="C360" s="5" t="inlineStr">
        <is>
          <t>Ryan Mackenzie</t>
        </is>
      </c>
      <c r="D360" s="5" t="inlineStr">
        <is>
          <t>REP</t>
        </is>
      </c>
      <c r="E360" s="5" t="n"/>
      <c r="F360" s="5" t="n"/>
      <c r="G360" s="5" t="n"/>
      <c r="H360" s="5" t="n"/>
      <c r="I360" s="5" t="n"/>
      <c r="J360" s="5" t="inlineStr">
        <is>
          <t>ID</t>
        </is>
      </c>
      <c r="K360" s="33" t="n">
        <v>18666.86</v>
      </c>
      <c r="L360" s="34" t="n">
        <v>67</v>
      </c>
      <c r="M360" s="5" t="inlineStr">
        <is>
          <t>2026-06-30</t>
        </is>
      </c>
    </row>
    <row r="361">
      <c r="A361" s="5" t="inlineStr">
        <is>
          <t>contributions_by_state</t>
        </is>
      </c>
      <c r="B361" s="5" t="n">
        <v>2026</v>
      </c>
      <c r="C361" s="5" t="inlineStr">
        <is>
          <t>Ryan Mackenzie</t>
        </is>
      </c>
      <c r="D361" s="5" t="inlineStr">
        <is>
          <t>REP</t>
        </is>
      </c>
      <c r="E361" s="5" t="n"/>
      <c r="F361" s="5" t="n"/>
      <c r="G361" s="5" t="n"/>
      <c r="H361" s="5" t="n"/>
      <c r="I361" s="5" t="n"/>
      <c r="J361" s="5" t="inlineStr">
        <is>
          <t>MD</t>
        </is>
      </c>
      <c r="K361" s="33" t="n">
        <v>17205.01</v>
      </c>
      <c r="L361" s="34" t="n">
        <v>40</v>
      </c>
      <c r="M361" s="5" t="inlineStr">
        <is>
          <t>2026-06-30</t>
        </is>
      </c>
    </row>
    <row r="362">
      <c r="A362" s="5" t="inlineStr">
        <is>
          <t>contributions_by_state</t>
        </is>
      </c>
      <c r="B362" s="5" t="n">
        <v>2026</v>
      </c>
      <c r="C362" s="5" t="inlineStr">
        <is>
          <t>Ryan Mackenzie</t>
        </is>
      </c>
      <c r="D362" s="5" t="inlineStr">
        <is>
          <t>REP</t>
        </is>
      </c>
      <c r="E362" s="5" t="n"/>
      <c r="F362" s="5" t="n"/>
      <c r="G362" s="5" t="n"/>
      <c r="H362" s="5" t="n"/>
      <c r="I362" s="5" t="n"/>
      <c r="J362" s="5" t="inlineStr">
        <is>
          <t>PR</t>
        </is>
      </c>
      <c r="K362" s="33" t="n">
        <v>17000</v>
      </c>
      <c r="L362" s="34" t="n">
        <v>10</v>
      </c>
      <c r="M362" s="5" t="inlineStr">
        <is>
          <t>2026-06-30</t>
        </is>
      </c>
    </row>
    <row r="363">
      <c r="A363" s="5" t="inlineStr">
        <is>
          <t>contributions_by_state</t>
        </is>
      </c>
      <c r="B363" s="5" t="n">
        <v>2026</v>
      </c>
      <c r="C363" s="5" t="inlineStr">
        <is>
          <t>Ryan Mackenzie</t>
        </is>
      </c>
      <c r="D363" s="5" t="inlineStr">
        <is>
          <t>REP</t>
        </is>
      </c>
      <c r="E363" s="5" t="n"/>
      <c r="F363" s="5" t="n"/>
      <c r="G363" s="5" t="n"/>
      <c r="H363" s="5" t="n"/>
      <c r="I363" s="5" t="n"/>
      <c r="J363" s="5" t="inlineStr">
        <is>
          <t>WI</t>
        </is>
      </c>
      <c r="K363" s="33" t="n">
        <v>12261.39</v>
      </c>
      <c r="L363" s="34" t="n">
        <v>84</v>
      </c>
      <c r="M363" s="5" t="inlineStr">
        <is>
          <t>2026-06-30</t>
        </is>
      </c>
    </row>
    <row r="364">
      <c r="A364" s="5" t="inlineStr">
        <is>
          <t>contributions_by_state</t>
        </is>
      </c>
      <c r="B364" s="5" t="n">
        <v>2026</v>
      </c>
      <c r="C364" s="5" t="inlineStr">
        <is>
          <t>Ryan Mackenzie</t>
        </is>
      </c>
      <c r="D364" s="5" t="inlineStr">
        <is>
          <t>REP</t>
        </is>
      </c>
      <c r="E364" s="5" t="n"/>
      <c r="F364" s="5" t="n"/>
      <c r="G364" s="5" t="n"/>
      <c r="H364" s="5" t="n"/>
      <c r="I364" s="5" t="n"/>
      <c r="J364" s="5" t="inlineStr">
        <is>
          <t>WA</t>
        </is>
      </c>
      <c r="K364" s="33" t="n">
        <v>11460.88</v>
      </c>
      <c r="L364" s="34" t="n">
        <v>180</v>
      </c>
      <c r="M364" s="5" t="inlineStr">
        <is>
          <t>2026-06-30</t>
        </is>
      </c>
    </row>
    <row r="365">
      <c r="A365" s="5" t="inlineStr">
        <is>
          <t>contributions_by_state</t>
        </is>
      </c>
      <c r="B365" s="5" t="n">
        <v>2026</v>
      </c>
      <c r="C365" s="5" t="inlineStr">
        <is>
          <t>Ryan Mackenzie</t>
        </is>
      </c>
      <c r="D365" s="5" t="inlineStr">
        <is>
          <t>REP</t>
        </is>
      </c>
      <c r="E365" s="5" t="n"/>
      <c r="F365" s="5" t="n"/>
      <c r="G365" s="5" t="n"/>
      <c r="H365" s="5" t="n"/>
      <c r="I365" s="5" t="n"/>
      <c r="J365" s="5" t="inlineStr">
        <is>
          <t>NH</t>
        </is>
      </c>
      <c r="K365" s="33" t="n">
        <v>11400</v>
      </c>
      <c r="L365" s="34" t="n">
        <v>6</v>
      </c>
      <c r="M365" s="5" t="inlineStr">
        <is>
          <t>2026-06-30</t>
        </is>
      </c>
    </row>
    <row r="366">
      <c r="A366" s="5" t="inlineStr">
        <is>
          <t>contributions_by_state</t>
        </is>
      </c>
      <c r="B366" s="5" t="n">
        <v>2026</v>
      </c>
      <c r="C366" s="5" t="inlineStr">
        <is>
          <t>Ryan Mackenzie</t>
        </is>
      </c>
      <c r="D366" s="5" t="inlineStr">
        <is>
          <t>REP</t>
        </is>
      </c>
      <c r="E366" s="5" t="n"/>
      <c r="F366" s="5" t="n"/>
      <c r="G366" s="5" t="n"/>
      <c r="H366" s="5" t="n"/>
      <c r="I366" s="5" t="n"/>
      <c r="J366" s="5" t="inlineStr">
        <is>
          <t>WY</t>
        </is>
      </c>
      <c r="K366" s="33" t="n">
        <v>10726.3</v>
      </c>
      <c r="L366" s="34" t="n">
        <v>8</v>
      </c>
      <c r="M366" s="5" t="inlineStr">
        <is>
          <t>2026-06-30</t>
        </is>
      </c>
    </row>
    <row r="367">
      <c r="A367" s="5" t="inlineStr">
        <is>
          <t>contributions_by_state</t>
        </is>
      </c>
      <c r="B367" s="5" t="n">
        <v>2026</v>
      </c>
      <c r="C367" s="5" t="inlineStr">
        <is>
          <t>Ryan Mackenzie</t>
        </is>
      </c>
      <c r="D367" s="5" t="inlineStr">
        <is>
          <t>REP</t>
        </is>
      </c>
      <c r="E367" s="5" t="n"/>
      <c r="F367" s="5" t="n"/>
      <c r="G367" s="5" t="n"/>
      <c r="H367" s="5" t="n"/>
      <c r="I367" s="5" t="n"/>
      <c r="J367" s="5" t="inlineStr">
        <is>
          <t>UT</t>
        </is>
      </c>
      <c r="K367" s="33" t="n">
        <v>10723.63</v>
      </c>
      <c r="L367" s="34" t="n">
        <v>164</v>
      </c>
      <c r="M367" s="5" t="inlineStr">
        <is>
          <t>2026-06-30</t>
        </is>
      </c>
    </row>
    <row r="368">
      <c r="A368" s="5" t="inlineStr">
        <is>
          <t>contributions_by_state</t>
        </is>
      </c>
      <c r="B368" s="5" t="n">
        <v>2026</v>
      </c>
      <c r="C368" s="5" t="inlineStr">
        <is>
          <t>Ryan Mackenzie</t>
        </is>
      </c>
      <c r="D368" s="5" t="inlineStr">
        <is>
          <t>REP</t>
        </is>
      </c>
      <c r="E368" s="5" t="n"/>
      <c r="F368" s="5" t="n"/>
      <c r="G368" s="5" t="n"/>
      <c r="H368" s="5" t="n"/>
      <c r="I368" s="5" t="n"/>
      <c r="J368" s="5" t="inlineStr">
        <is>
          <t>AL</t>
        </is>
      </c>
      <c r="K368" s="33" t="n">
        <v>10488.85</v>
      </c>
      <c r="L368" s="34" t="n">
        <v>127</v>
      </c>
      <c r="M368" s="5" t="inlineStr">
        <is>
          <t>2026-06-30</t>
        </is>
      </c>
    </row>
    <row r="369">
      <c r="A369" s="5" t="inlineStr">
        <is>
          <t>contributions_by_state</t>
        </is>
      </c>
      <c r="B369" s="5" t="n">
        <v>2026</v>
      </c>
      <c r="C369" s="5" t="inlineStr">
        <is>
          <t>Ryan Mackenzie</t>
        </is>
      </c>
      <c r="D369" s="5" t="inlineStr">
        <is>
          <t>REP</t>
        </is>
      </c>
      <c r="E369" s="5" t="n"/>
      <c r="F369" s="5" t="n"/>
      <c r="G369" s="5" t="n"/>
      <c r="H369" s="5" t="n"/>
      <c r="I369" s="5" t="n"/>
      <c r="J369" s="5" t="inlineStr">
        <is>
          <t>NJ</t>
        </is>
      </c>
      <c r="K369" s="33" t="n">
        <v>9871.74</v>
      </c>
      <c r="L369" s="34" t="n">
        <v>223</v>
      </c>
      <c r="M369" s="5" t="inlineStr">
        <is>
          <t>2026-06-30</t>
        </is>
      </c>
    </row>
    <row r="370">
      <c r="A370" s="5" t="inlineStr">
        <is>
          <t>contributions_by_state</t>
        </is>
      </c>
      <c r="B370" s="5" t="n">
        <v>2026</v>
      </c>
      <c r="C370" s="5" t="inlineStr">
        <is>
          <t>Ryan Mackenzie</t>
        </is>
      </c>
      <c r="D370" s="5" t="inlineStr">
        <is>
          <t>REP</t>
        </is>
      </c>
      <c r="E370" s="5" t="n"/>
      <c r="F370" s="5" t="n"/>
      <c r="G370" s="5" t="n"/>
      <c r="H370" s="5" t="n"/>
      <c r="I370" s="5" t="n"/>
      <c r="J370" s="5" t="inlineStr">
        <is>
          <t>IN</t>
        </is>
      </c>
      <c r="K370" s="33" t="n">
        <v>9372.43</v>
      </c>
      <c r="L370" s="34" t="n">
        <v>203</v>
      </c>
      <c r="M370" s="5" t="inlineStr">
        <is>
          <t>2026-06-30</t>
        </is>
      </c>
    </row>
    <row r="371">
      <c r="A371" s="5" t="inlineStr">
        <is>
          <t>contributions_by_state</t>
        </is>
      </c>
      <c r="B371" s="5" t="n">
        <v>2026</v>
      </c>
      <c r="C371" s="5" t="inlineStr">
        <is>
          <t>Ryan Mackenzie</t>
        </is>
      </c>
      <c r="D371" s="5" t="inlineStr">
        <is>
          <t>REP</t>
        </is>
      </c>
      <c r="E371" s="5" t="n"/>
      <c r="F371" s="5" t="n"/>
      <c r="G371" s="5" t="n"/>
      <c r="H371" s="5" t="n"/>
      <c r="I371" s="5" t="n"/>
      <c r="J371" s="5" t="inlineStr">
        <is>
          <t>SC</t>
        </is>
      </c>
      <c r="K371" s="33" t="n">
        <v>7790.01</v>
      </c>
      <c r="L371" s="34" t="n">
        <v>415</v>
      </c>
      <c r="M371" s="5" t="inlineStr">
        <is>
          <t>2026-06-30</t>
        </is>
      </c>
    </row>
    <row r="372">
      <c r="A372" s="5" t="inlineStr">
        <is>
          <t>contributions_by_state</t>
        </is>
      </c>
      <c r="B372" s="5" t="n">
        <v>2026</v>
      </c>
      <c r="C372" s="5" t="inlineStr">
        <is>
          <t>Ryan Mackenzie</t>
        </is>
      </c>
      <c r="D372" s="5" t="inlineStr">
        <is>
          <t>REP</t>
        </is>
      </c>
      <c r="E372" s="5" t="n"/>
      <c r="F372" s="5" t="n"/>
      <c r="G372" s="5" t="n"/>
      <c r="H372" s="5" t="n"/>
      <c r="I372" s="5" t="n"/>
      <c r="J372" s="5" t="inlineStr">
        <is>
          <t>NE</t>
        </is>
      </c>
      <c r="K372" s="33" t="n">
        <v>7000</v>
      </c>
      <c r="L372" s="34" t="n">
        <v>2</v>
      </c>
      <c r="M372" s="5" t="inlineStr">
        <is>
          <t>2026-06-30</t>
        </is>
      </c>
    </row>
    <row r="373">
      <c r="A373" s="5" t="inlineStr">
        <is>
          <t>contributions_by_state</t>
        </is>
      </c>
      <c r="B373" s="5" t="n">
        <v>2026</v>
      </c>
      <c r="C373" s="5" t="inlineStr">
        <is>
          <t>Ryan Mackenzie</t>
        </is>
      </c>
      <c r="D373" s="5" t="inlineStr">
        <is>
          <t>REP</t>
        </is>
      </c>
      <c r="E373" s="5" t="n"/>
      <c r="F373" s="5" t="n"/>
      <c r="G373" s="5" t="n"/>
      <c r="H373" s="5" t="n"/>
      <c r="I373" s="5" t="n"/>
      <c r="J373" s="5" t="inlineStr">
        <is>
          <t>MS</t>
        </is>
      </c>
      <c r="K373" s="33" t="n">
        <v>5904.04</v>
      </c>
      <c r="L373" s="34" t="n">
        <v>330</v>
      </c>
      <c r="M373" s="5" t="inlineStr">
        <is>
          <t>2026-06-30</t>
        </is>
      </c>
    </row>
    <row r="374">
      <c r="A374" s="5" t="inlineStr">
        <is>
          <t>contributions_by_state</t>
        </is>
      </c>
      <c r="B374" s="5" t="n">
        <v>2026</v>
      </c>
      <c r="C374" s="5" t="inlineStr">
        <is>
          <t>Ryan Mackenzie</t>
        </is>
      </c>
      <c r="D374" s="5" t="inlineStr">
        <is>
          <t>REP</t>
        </is>
      </c>
      <c r="E374" s="5" t="n"/>
      <c r="F374" s="5" t="n"/>
      <c r="G374" s="5" t="n"/>
      <c r="H374" s="5" t="n"/>
      <c r="I374" s="5" t="n"/>
      <c r="J374" s="5" t="inlineStr">
        <is>
          <t>NM</t>
        </is>
      </c>
      <c r="K374" s="33" t="n">
        <v>4627.93</v>
      </c>
      <c r="L374" s="34" t="n">
        <v>103</v>
      </c>
      <c r="M374" s="5" t="inlineStr">
        <is>
          <t>2026-06-30</t>
        </is>
      </c>
    </row>
    <row r="375">
      <c r="A375" s="5" t="inlineStr">
        <is>
          <t>contributions_by_state</t>
        </is>
      </c>
      <c r="B375" s="5" t="n">
        <v>2026</v>
      </c>
      <c r="C375" s="5" t="inlineStr">
        <is>
          <t>Ryan Mackenzie</t>
        </is>
      </c>
      <c r="D375" s="5" t="inlineStr">
        <is>
          <t>REP</t>
        </is>
      </c>
      <c r="E375" s="5" t="n"/>
      <c r="F375" s="5" t="n"/>
      <c r="G375" s="5" t="n"/>
      <c r="H375" s="5" t="n"/>
      <c r="I375" s="5" t="n"/>
      <c r="J375" s="5" t="inlineStr">
        <is>
          <t>NC</t>
        </is>
      </c>
      <c r="K375" s="33" t="n">
        <v>4480.64</v>
      </c>
      <c r="L375" s="34" t="n">
        <v>174</v>
      </c>
      <c r="M375" s="5" t="inlineStr">
        <is>
          <t>2026-06-30</t>
        </is>
      </c>
    </row>
    <row r="376">
      <c r="A376" s="5" t="inlineStr">
        <is>
          <t>contributions_by_state</t>
        </is>
      </c>
      <c r="B376" s="5" t="n">
        <v>2026</v>
      </c>
      <c r="C376" s="5" t="inlineStr">
        <is>
          <t>Ryan Mackenzie</t>
        </is>
      </c>
      <c r="D376" s="5" t="inlineStr">
        <is>
          <t>REP</t>
        </is>
      </c>
      <c r="E376" s="5" t="n"/>
      <c r="F376" s="5" t="n"/>
      <c r="G376" s="5" t="n"/>
      <c r="H376" s="5" t="n"/>
      <c r="I376" s="5" t="n"/>
      <c r="J376" s="5" t="inlineStr">
        <is>
          <t>MT</t>
        </is>
      </c>
      <c r="K376" s="33" t="n">
        <v>3462.86</v>
      </c>
      <c r="L376" s="34" t="n">
        <v>125</v>
      </c>
      <c r="M376" s="5" t="inlineStr">
        <is>
          <t>2026-06-30</t>
        </is>
      </c>
    </row>
    <row r="377">
      <c r="A377" s="5" t="inlineStr">
        <is>
          <t>contributions_by_state</t>
        </is>
      </c>
      <c r="B377" s="5" t="n">
        <v>2026</v>
      </c>
      <c r="C377" s="5" t="inlineStr">
        <is>
          <t>Ryan Mackenzie</t>
        </is>
      </c>
      <c r="D377" s="5" t="inlineStr">
        <is>
          <t>REP</t>
        </is>
      </c>
      <c r="E377" s="5" t="n"/>
      <c r="F377" s="5" t="n"/>
      <c r="G377" s="5" t="n"/>
      <c r="H377" s="5" t="n"/>
      <c r="I377" s="5" t="n"/>
      <c r="J377" s="5" t="inlineStr">
        <is>
          <t>KS</t>
        </is>
      </c>
      <c r="K377" s="33" t="n">
        <v>2739.88</v>
      </c>
      <c r="L377" s="34" t="n">
        <v>189</v>
      </c>
      <c r="M377" s="5" t="inlineStr">
        <is>
          <t>2026-06-30</t>
        </is>
      </c>
    </row>
    <row r="378">
      <c r="A378" s="5" t="inlineStr">
        <is>
          <t>contributions_by_state</t>
        </is>
      </c>
      <c r="B378" s="5" t="n">
        <v>2026</v>
      </c>
      <c r="C378" s="5" t="inlineStr">
        <is>
          <t>Ryan Mackenzie</t>
        </is>
      </c>
      <c r="D378" s="5" t="inlineStr">
        <is>
          <t>REP</t>
        </is>
      </c>
      <c r="E378" s="5" t="n"/>
      <c r="F378" s="5" t="n"/>
      <c r="G378" s="5" t="n"/>
      <c r="H378" s="5" t="n"/>
      <c r="I378" s="5" t="n"/>
      <c r="J378" s="5" t="inlineStr">
        <is>
          <t>SD</t>
        </is>
      </c>
      <c r="K378" s="33" t="n">
        <v>2232.17</v>
      </c>
      <c r="L378" s="34" t="n">
        <v>12</v>
      </c>
      <c r="M378" s="5" t="inlineStr">
        <is>
          <t>2026-06-30</t>
        </is>
      </c>
    </row>
    <row r="379">
      <c r="A379" s="5" t="inlineStr">
        <is>
          <t>contributions_by_state</t>
        </is>
      </c>
      <c r="B379" s="5" t="n">
        <v>2026</v>
      </c>
      <c r="C379" s="5" t="inlineStr">
        <is>
          <t>Ryan Mackenzie</t>
        </is>
      </c>
      <c r="D379" s="5" t="inlineStr">
        <is>
          <t>REP</t>
        </is>
      </c>
      <c r="E379" s="5" t="n"/>
      <c r="F379" s="5" t="n"/>
      <c r="G379" s="5" t="n"/>
      <c r="H379" s="5" t="n"/>
      <c r="I379" s="5" t="n"/>
      <c r="J379" s="5" t="inlineStr">
        <is>
          <t>OK</t>
        </is>
      </c>
      <c r="K379" s="33" t="n">
        <v>1730.26</v>
      </c>
      <c r="L379" s="34" t="n">
        <v>99</v>
      </c>
      <c r="M379" s="5" t="inlineStr">
        <is>
          <t>2026-06-30</t>
        </is>
      </c>
    </row>
    <row r="380">
      <c r="A380" s="5" t="inlineStr">
        <is>
          <t>contributions_by_state</t>
        </is>
      </c>
      <c r="B380" s="5" t="n">
        <v>2026</v>
      </c>
      <c r="C380" s="5" t="inlineStr">
        <is>
          <t>Ryan Mackenzie</t>
        </is>
      </c>
      <c r="D380" s="5" t="inlineStr">
        <is>
          <t>REP</t>
        </is>
      </c>
      <c r="E380" s="5" t="n"/>
      <c r="F380" s="5" t="n"/>
      <c r="G380" s="5" t="n"/>
      <c r="H380" s="5" t="n"/>
      <c r="I380" s="5" t="n"/>
      <c r="J380" s="5" t="inlineStr">
        <is>
          <t>OR</t>
        </is>
      </c>
      <c r="K380" s="33" t="n">
        <v>1289.13</v>
      </c>
      <c r="L380" s="34" t="n">
        <v>56</v>
      </c>
      <c r="M380" s="5" t="inlineStr">
        <is>
          <t>2026-06-30</t>
        </is>
      </c>
    </row>
    <row r="381">
      <c r="A381" s="5" t="inlineStr">
        <is>
          <t>contributions_by_state</t>
        </is>
      </c>
      <c r="B381" s="5" t="n">
        <v>2026</v>
      </c>
      <c r="C381" s="5" t="inlineStr">
        <is>
          <t>Ryan Mackenzie</t>
        </is>
      </c>
      <c r="D381" s="5" t="inlineStr">
        <is>
          <t>REP</t>
        </is>
      </c>
      <c r="E381" s="5" t="n"/>
      <c r="F381" s="5" t="n"/>
      <c r="G381" s="5" t="n"/>
      <c r="H381" s="5" t="n"/>
      <c r="I381" s="5" t="n"/>
      <c r="J381" s="5" t="inlineStr">
        <is>
          <t>DE</t>
        </is>
      </c>
      <c r="K381" s="33" t="n">
        <v>1260</v>
      </c>
      <c r="L381" s="34" t="n">
        <v>24</v>
      </c>
      <c r="M381" s="5" t="inlineStr">
        <is>
          <t>2026-06-30</t>
        </is>
      </c>
    </row>
    <row r="382">
      <c r="A382" s="5" t="inlineStr">
        <is>
          <t>contributions_by_state</t>
        </is>
      </c>
      <c r="B382" s="5" t="n">
        <v>2026</v>
      </c>
      <c r="C382" s="5" t="inlineStr">
        <is>
          <t>Ryan Mackenzie</t>
        </is>
      </c>
      <c r="D382" s="5" t="inlineStr">
        <is>
          <t>REP</t>
        </is>
      </c>
      <c r="E382" s="5" t="n"/>
      <c r="F382" s="5" t="n"/>
      <c r="G382" s="5" t="n"/>
      <c r="H382" s="5" t="n"/>
      <c r="I382" s="5" t="n"/>
      <c r="J382" s="5" t="inlineStr">
        <is>
          <t>IA</t>
        </is>
      </c>
      <c r="K382" s="33" t="n">
        <v>1073.48</v>
      </c>
      <c r="L382" s="34" t="n">
        <v>60</v>
      </c>
      <c r="M382" s="5" t="inlineStr">
        <is>
          <t>2026-06-30</t>
        </is>
      </c>
    </row>
    <row r="383">
      <c r="A383" s="5" t="inlineStr">
        <is>
          <t>contributions_by_state</t>
        </is>
      </c>
      <c r="B383" s="5" t="n">
        <v>2026</v>
      </c>
      <c r="C383" s="5" t="inlineStr">
        <is>
          <t>Ryan Mackenzie</t>
        </is>
      </c>
      <c r="D383" s="5" t="inlineStr">
        <is>
          <t>REP</t>
        </is>
      </c>
      <c r="E383" s="5" t="n"/>
      <c r="F383" s="5" t="n"/>
      <c r="G383" s="5" t="n"/>
      <c r="H383" s="5" t="n"/>
      <c r="I383" s="5" t="n"/>
      <c r="J383" s="5" t="inlineStr">
        <is>
          <t>RI</t>
        </is>
      </c>
      <c r="K383" s="33" t="n">
        <v>1000</v>
      </c>
      <c r="L383" s="34" t="n">
        <v>1</v>
      </c>
      <c r="M383" s="5" t="inlineStr">
        <is>
          <t>2026-06-30</t>
        </is>
      </c>
    </row>
    <row r="384">
      <c r="A384" s="5" t="inlineStr">
        <is>
          <t>contributions_by_state</t>
        </is>
      </c>
      <c r="B384" s="5" t="n">
        <v>2026</v>
      </c>
      <c r="C384" s="5" t="inlineStr">
        <is>
          <t>Ryan Mackenzie</t>
        </is>
      </c>
      <c r="D384" s="5" t="inlineStr">
        <is>
          <t>REP</t>
        </is>
      </c>
      <c r="E384" s="5" t="n"/>
      <c r="F384" s="5" t="n"/>
      <c r="G384" s="5" t="n"/>
      <c r="H384" s="5" t="n"/>
      <c r="I384" s="5" t="n"/>
      <c r="J384" s="5" t="inlineStr">
        <is>
          <t>WV</t>
        </is>
      </c>
      <c r="K384" s="33" t="n">
        <v>905.35</v>
      </c>
      <c r="L384" s="34" t="n">
        <v>13</v>
      </c>
      <c r="M384" s="5" t="inlineStr">
        <is>
          <t>2026-06-30</t>
        </is>
      </c>
    </row>
    <row r="385">
      <c r="A385" s="5" t="inlineStr">
        <is>
          <t>contributions_by_state</t>
        </is>
      </c>
      <c r="B385" s="5" t="n">
        <v>2026</v>
      </c>
      <c r="C385" s="5" t="inlineStr">
        <is>
          <t>Ryan Mackenzie</t>
        </is>
      </c>
      <c r="D385" s="5" t="inlineStr">
        <is>
          <t>REP</t>
        </is>
      </c>
      <c r="E385" s="5" t="n"/>
      <c r="F385" s="5" t="n"/>
      <c r="G385" s="5" t="n"/>
      <c r="H385" s="5" t="n"/>
      <c r="I385" s="5" t="n"/>
      <c r="J385" s="5" t="inlineStr">
        <is>
          <t>ME</t>
        </is>
      </c>
      <c r="K385" s="33" t="n">
        <v>722.89</v>
      </c>
      <c r="L385" s="34" t="n">
        <v>194</v>
      </c>
      <c r="M385" s="5" t="inlineStr">
        <is>
          <t>2026-06-30</t>
        </is>
      </c>
    </row>
    <row r="386">
      <c r="A386" s="5" t="inlineStr">
        <is>
          <t>contributions_by_state</t>
        </is>
      </c>
      <c r="B386" s="5" t="n">
        <v>2026</v>
      </c>
      <c r="C386" s="5" t="inlineStr">
        <is>
          <t>Ryan Mackenzie</t>
        </is>
      </c>
      <c r="D386" s="5" t="inlineStr">
        <is>
          <t>REP</t>
        </is>
      </c>
      <c r="E386" s="5" t="n"/>
      <c r="F386" s="5" t="n"/>
      <c r="G386" s="5" t="n"/>
      <c r="H386" s="5" t="n"/>
      <c r="I386" s="5" t="n"/>
      <c r="J386" s="5" t="inlineStr">
        <is>
          <t>HI</t>
        </is>
      </c>
      <c r="K386" s="33" t="n">
        <v>640.23</v>
      </c>
      <c r="L386" s="34" t="n">
        <v>31</v>
      </c>
      <c r="M386" s="5" t="inlineStr">
        <is>
          <t>2026-06-30</t>
        </is>
      </c>
    </row>
    <row r="387">
      <c r="A387" s="5" t="inlineStr">
        <is>
          <t>contributions_by_state</t>
        </is>
      </c>
      <c r="B387" s="5" t="n">
        <v>2026</v>
      </c>
      <c r="C387" s="5" t="inlineStr">
        <is>
          <t>Ryan Mackenzie</t>
        </is>
      </c>
      <c r="D387" s="5" t="inlineStr">
        <is>
          <t>REP</t>
        </is>
      </c>
      <c r="E387" s="5" t="n"/>
      <c r="F387" s="5" t="n"/>
      <c r="G387" s="5" t="n"/>
      <c r="H387" s="5" t="n"/>
      <c r="I387" s="5" t="n"/>
      <c r="J387" s="5" t="inlineStr">
        <is>
          <t>KY</t>
        </is>
      </c>
      <c r="K387" s="33" t="n">
        <v>557.48</v>
      </c>
      <c r="L387" s="34" t="n">
        <v>71</v>
      </c>
      <c r="M387" s="5" t="inlineStr">
        <is>
          <t>2026-06-30</t>
        </is>
      </c>
    </row>
    <row r="388">
      <c r="A388" s="5" t="inlineStr">
        <is>
          <t>contributions_by_state</t>
        </is>
      </c>
      <c r="B388" s="5" t="n">
        <v>2026</v>
      </c>
      <c r="C388" s="5" t="inlineStr">
        <is>
          <t>Ryan Mackenzie</t>
        </is>
      </c>
      <c r="D388" s="5" t="inlineStr">
        <is>
          <t>REP</t>
        </is>
      </c>
      <c r="E388" s="5" t="n"/>
      <c r="F388" s="5" t="n"/>
      <c r="G388" s="5" t="n"/>
      <c r="H388" s="5" t="n"/>
      <c r="I388" s="5" t="n"/>
      <c r="J388" s="5" t="inlineStr">
        <is>
          <t>ND</t>
        </is>
      </c>
      <c r="K388" s="33" t="n">
        <v>250</v>
      </c>
      <c r="L388" s="34" t="n">
        <v>1</v>
      </c>
      <c r="M388" s="5" t="inlineStr">
        <is>
          <t>2026-06-30</t>
        </is>
      </c>
    </row>
    <row r="389">
      <c r="A389" s="5" t="inlineStr">
        <is>
          <t>contributions_by_state</t>
        </is>
      </c>
      <c r="B389" s="5" t="n">
        <v>2026</v>
      </c>
      <c r="C389" s="5" t="inlineStr">
        <is>
          <t>Ryan Mackenzie</t>
        </is>
      </c>
      <c r="D389" s="5" t="inlineStr">
        <is>
          <t>REP</t>
        </is>
      </c>
      <c r="E389" s="5" t="n"/>
      <c r="F389" s="5" t="n"/>
      <c r="G389" s="5" t="n"/>
      <c r="H389" s="5" t="n"/>
      <c r="I389" s="5" t="n"/>
      <c r="J389" s="5" t="inlineStr">
        <is>
          <t>AK</t>
        </is>
      </c>
      <c r="K389" s="33" t="n">
        <v>6.18</v>
      </c>
      <c r="L389" s="34" t="n">
        <v>4</v>
      </c>
      <c r="M389" s="5" t="inlineStr">
        <is>
          <t>2026-06-30</t>
        </is>
      </c>
    </row>
    <row r="390">
      <c r="A390" s="5" t="inlineStr">
        <is>
          <t>contributions_by_size</t>
        </is>
      </c>
      <c r="B390" s="5" t="n">
        <v>2026</v>
      </c>
      <c r="C390" s="5" t="inlineStr">
        <is>
          <t>Ryan Mackenzie</t>
        </is>
      </c>
      <c r="D390" s="5" t="inlineStr">
        <is>
          <t>REP</t>
        </is>
      </c>
      <c r="E390" s="5" t="n"/>
      <c r="F390" s="5" t="inlineStr">
        <is>
          <t>$200 or less</t>
        </is>
      </c>
      <c r="G390" s="5" t="n"/>
      <c r="H390" s="5" t="n"/>
      <c r="I390" s="5" t="n"/>
      <c r="J390" s="5" t="n"/>
      <c r="K390" s="33" t="n">
        <v>734290.36</v>
      </c>
      <c r="L390" s="34" t="n"/>
      <c r="M390" s="5" t="inlineStr">
        <is>
          <t>2026-06-30</t>
        </is>
      </c>
    </row>
    <row r="391">
      <c r="A391" s="5" t="inlineStr">
        <is>
          <t>contributions_by_size</t>
        </is>
      </c>
      <c r="B391" s="5" t="n">
        <v>2026</v>
      </c>
      <c r="C391" s="5" t="inlineStr">
        <is>
          <t>Ryan Mackenzie</t>
        </is>
      </c>
      <c r="D391" s="5" t="inlineStr">
        <is>
          <t>REP</t>
        </is>
      </c>
      <c r="E391" s="5" t="n"/>
      <c r="F391" s="5" t="inlineStr">
        <is>
          <t>$200.01 to $499.99</t>
        </is>
      </c>
      <c r="G391" s="5" t="n"/>
      <c r="H391" s="5" t="n"/>
      <c r="I391" s="5" t="n"/>
      <c r="J391" s="5" t="n"/>
      <c r="K391" s="33" t="n">
        <v>101351.85</v>
      </c>
      <c r="L391" s="34" t="n">
        <v>372</v>
      </c>
      <c r="M391" s="5" t="inlineStr">
        <is>
          <t>2026-06-30</t>
        </is>
      </c>
    </row>
    <row r="392">
      <c r="A392" s="5" t="inlineStr">
        <is>
          <t>contributions_by_size</t>
        </is>
      </c>
      <c r="B392" s="5" t="n">
        <v>2026</v>
      </c>
      <c r="C392" s="5" t="inlineStr">
        <is>
          <t>Ryan Mackenzie</t>
        </is>
      </c>
      <c r="D392" s="5" t="inlineStr">
        <is>
          <t>REP</t>
        </is>
      </c>
      <c r="E392" s="5" t="n"/>
      <c r="F392" s="5" t="inlineStr">
        <is>
          <t>$500 to $999.99</t>
        </is>
      </c>
      <c r="G392" s="5" t="n"/>
      <c r="H392" s="5" t="n"/>
      <c r="I392" s="5" t="n"/>
      <c r="J392" s="5" t="n"/>
      <c r="K392" s="33" t="n">
        <v>250771.82</v>
      </c>
      <c r="L392" s="34" t="n">
        <v>443</v>
      </c>
      <c r="M392" s="5" t="inlineStr">
        <is>
          <t>2026-06-30</t>
        </is>
      </c>
    </row>
    <row r="393">
      <c r="A393" s="5" t="inlineStr">
        <is>
          <t>contributions_by_size</t>
        </is>
      </c>
      <c r="B393" s="5" t="n">
        <v>2026</v>
      </c>
      <c r="C393" s="5" t="inlineStr">
        <is>
          <t>Ryan Mackenzie</t>
        </is>
      </c>
      <c r="D393" s="5" t="inlineStr">
        <is>
          <t>REP</t>
        </is>
      </c>
      <c r="E393" s="5" t="n"/>
      <c r="F393" s="5" t="inlineStr">
        <is>
          <t>$1,000 to $1,999.99</t>
        </is>
      </c>
      <c r="G393" s="5" t="n"/>
      <c r="H393" s="5" t="n"/>
      <c r="I393" s="5" t="n"/>
      <c r="J393" s="5" t="n"/>
      <c r="K393" s="33" t="n">
        <v>598054.96</v>
      </c>
      <c r="L393" s="34" t="n">
        <v>482</v>
      </c>
      <c r="M393" s="5" t="inlineStr">
        <is>
          <t>2026-06-30</t>
        </is>
      </c>
    </row>
    <row r="394">
      <c r="A394" s="5" t="inlineStr">
        <is>
          <t>contributions_by_size</t>
        </is>
      </c>
      <c r="B394" s="5" t="n">
        <v>2026</v>
      </c>
      <c r="C394" s="5" t="inlineStr">
        <is>
          <t>Ryan Mackenzie</t>
        </is>
      </c>
      <c r="D394" s="5" t="inlineStr">
        <is>
          <t>REP</t>
        </is>
      </c>
      <c r="E394" s="5" t="n"/>
      <c r="F394" s="5" t="inlineStr">
        <is>
          <t>$2,000 and over</t>
        </is>
      </c>
      <c r="G394" s="5" t="n"/>
      <c r="H394" s="5" t="n"/>
      <c r="I394" s="5" t="n"/>
      <c r="J394" s="5" t="n"/>
      <c r="K394" s="33" t="n">
        <v>1814220.05</v>
      </c>
      <c r="L394" s="34" t="n">
        <v>607</v>
      </c>
      <c r="M394" s="5" t="inlineStr">
        <is>
          <t>2026-06-30</t>
        </is>
      </c>
    </row>
    <row r="395">
      <c r="A395" s="5" t="inlineStr">
        <is>
          <t>contributions_in_district</t>
        </is>
      </c>
      <c r="B395" s="5" t="n">
        <v>2026</v>
      </c>
      <c r="C395" s="5" t="inlineStr">
        <is>
          <t>Ryan Mackenzie</t>
        </is>
      </c>
      <c r="D395" s="5" t="inlineStr">
        <is>
          <t>REP</t>
        </is>
      </c>
      <c r="E395" s="5" t="n"/>
      <c r="F395" s="5" t="inlineStr">
        <is>
          <t>Zip codes 180xx, 181xx, 182xx, 183xx</t>
        </is>
      </c>
      <c r="G395" s="5" t="inlineStr">
        <is>
          <t>In district (approximate)</t>
        </is>
      </c>
      <c r="H395" s="5" t="n"/>
      <c r="I395" s="5" t="n"/>
      <c r="J395" s="5" t="n"/>
      <c r="K395" s="33" t="n">
        <v>395259.46</v>
      </c>
      <c r="L395" s="34" t="n"/>
      <c r="M395" s="5" t="inlineStr">
        <is>
          <t>2026-06-30</t>
        </is>
      </c>
    </row>
    <row r="396">
      <c r="A396" s="5" t="inlineStr">
        <is>
          <t>contributions_in_district</t>
        </is>
      </c>
      <c r="B396" s="5" t="n">
        <v>2026</v>
      </c>
      <c r="C396" s="5" t="inlineStr">
        <is>
          <t>Ryan Mackenzie</t>
        </is>
      </c>
      <c r="D396" s="5" t="inlineStr">
        <is>
          <t>REP</t>
        </is>
      </c>
      <c r="E396" s="5" t="n"/>
      <c r="F396" s="5" t="n"/>
      <c r="G396" s="5" t="inlineStr">
        <is>
          <t>All itemized, by zip</t>
        </is>
      </c>
      <c r="H396" s="5" t="n"/>
      <c r="I396" s="5" t="n"/>
      <c r="J396" s="5" t="n"/>
      <c r="K396" s="33" t="n">
        <v>2944555.07</v>
      </c>
      <c r="L396" s="34" t="n">
        <v>1088</v>
      </c>
      <c r="M396" s="5" t="inlineStr">
        <is>
          <t>2026-06-30</t>
        </is>
      </c>
    </row>
    <row r="397">
      <c r="A397" s="5" t="inlineStr">
        <is>
          <t>contributions_top_zips</t>
        </is>
      </c>
      <c r="B397" s="5" t="n">
        <v>2026</v>
      </c>
      <c r="C397" s="5" t="inlineStr">
        <is>
          <t>Ryan Mackenzie</t>
        </is>
      </c>
      <c r="D397" s="5" t="inlineStr">
        <is>
          <t>REP</t>
        </is>
      </c>
      <c r="E397" s="5" t="n"/>
      <c r="F397" s="5" t="n"/>
      <c r="G397" s="5" t="inlineStr">
        <is>
          <t>33480</t>
        </is>
      </c>
      <c r="H397" s="5" t="n"/>
      <c r="I397" s="5" t="n"/>
      <c r="J397" s="5" t="n"/>
      <c r="K397" s="33" t="n">
        <v>109288</v>
      </c>
      <c r="L397" s="34" t="n">
        <v>71</v>
      </c>
      <c r="M397" s="5" t="inlineStr">
        <is>
          <t>2026-06-30</t>
        </is>
      </c>
    </row>
    <row r="398">
      <c r="A398" s="5" t="inlineStr">
        <is>
          <t>contributions_top_zips</t>
        </is>
      </c>
      <c r="B398" s="5" t="n">
        <v>2026</v>
      </c>
      <c r="C398" s="5" t="inlineStr">
        <is>
          <t>Ryan Mackenzie</t>
        </is>
      </c>
      <c r="D398" s="5" t="inlineStr">
        <is>
          <t>REP</t>
        </is>
      </c>
      <c r="E398" s="5" t="n"/>
      <c r="F398" s="5" t="n"/>
      <c r="G398" s="5" t="inlineStr">
        <is>
          <t>18104</t>
        </is>
      </c>
      <c r="H398" s="5" t="n"/>
      <c r="I398" s="5" t="n"/>
      <c r="J398" s="5" t="n"/>
      <c r="K398" s="33" t="n">
        <v>72871.08</v>
      </c>
      <c r="L398" s="34" t="n">
        <v>167</v>
      </c>
      <c r="M398" s="5" t="inlineStr">
        <is>
          <t>2026-06-30</t>
        </is>
      </c>
    </row>
    <row r="399">
      <c r="A399" s="5" t="inlineStr">
        <is>
          <t>contributions_top_zips</t>
        </is>
      </c>
      <c r="B399" s="5" t="n">
        <v>2026</v>
      </c>
      <c r="C399" s="5" t="inlineStr">
        <is>
          <t>Ryan Mackenzie</t>
        </is>
      </c>
      <c r="D399" s="5" t="inlineStr">
        <is>
          <t>REP</t>
        </is>
      </c>
      <c r="E399" s="5" t="n"/>
      <c r="F399" s="5" t="n"/>
      <c r="G399" s="5" t="inlineStr">
        <is>
          <t>18103</t>
        </is>
      </c>
      <c r="H399" s="5" t="n"/>
      <c r="I399" s="5" t="n"/>
      <c r="J399" s="5" t="n"/>
      <c r="K399" s="33" t="n">
        <v>65790.87</v>
      </c>
      <c r="L399" s="34" t="n">
        <v>85</v>
      </c>
      <c r="M399" s="5" t="inlineStr">
        <is>
          <t>2026-06-30</t>
        </is>
      </c>
    </row>
    <row r="400">
      <c r="A400" s="5" t="inlineStr">
        <is>
          <t>contributions_top_zips</t>
        </is>
      </c>
      <c r="B400" s="5" t="n">
        <v>2026</v>
      </c>
      <c r="C400" s="5" t="inlineStr">
        <is>
          <t>Ryan Mackenzie</t>
        </is>
      </c>
      <c r="D400" s="5" t="inlineStr">
        <is>
          <t>REP</t>
        </is>
      </c>
      <c r="E400" s="5" t="n"/>
      <c r="F400" s="5" t="n"/>
      <c r="G400" s="5" t="inlineStr">
        <is>
          <t>75225</t>
        </is>
      </c>
      <c r="H400" s="5" t="n"/>
      <c r="I400" s="5" t="n"/>
      <c r="J400" s="5" t="n"/>
      <c r="K400" s="33" t="n">
        <v>48572.46</v>
      </c>
      <c r="L400" s="34" t="n">
        <v>35</v>
      </c>
      <c r="M400" s="5" t="inlineStr">
        <is>
          <t>2026-06-30</t>
        </is>
      </c>
    </row>
    <row r="401">
      <c r="A401" s="5" t="inlineStr">
        <is>
          <t>contributions_top_zips</t>
        </is>
      </c>
      <c r="B401" s="5" t="n">
        <v>2026</v>
      </c>
      <c r="C401" s="5" t="inlineStr">
        <is>
          <t>Ryan Mackenzie</t>
        </is>
      </c>
      <c r="D401" s="5" t="inlineStr">
        <is>
          <t>REP</t>
        </is>
      </c>
      <c r="E401" s="5" t="n"/>
      <c r="F401" s="5" t="n"/>
      <c r="G401" s="5" t="inlineStr">
        <is>
          <t>33139</t>
        </is>
      </c>
      <c r="H401" s="5" t="n"/>
      <c r="I401" s="5" t="n"/>
      <c r="J401" s="5" t="n"/>
      <c r="K401" s="33" t="n">
        <v>29516.7</v>
      </c>
      <c r="L401" s="34" t="n">
        <v>14</v>
      </c>
      <c r="M401" s="5" t="inlineStr">
        <is>
          <t>2026-06-30</t>
        </is>
      </c>
    </row>
    <row r="402">
      <c r="A402" s="5" t="inlineStr">
        <is>
          <t>contributions_top_zips</t>
        </is>
      </c>
      <c r="B402" s="5" t="n">
        <v>2026</v>
      </c>
      <c r="C402" s="5" t="inlineStr">
        <is>
          <t>Ryan Mackenzie</t>
        </is>
      </c>
      <c r="D402" s="5" t="inlineStr">
        <is>
          <t>REP</t>
        </is>
      </c>
      <c r="E402" s="5" t="n"/>
      <c r="F402" s="5" t="n"/>
      <c r="G402" s="5" t="inlineStr">
        <is>
          <t>32963</t>
        </is>
      </c>
      <c r="H402" s="5" t="n"/>
      <c r="I402" s="5" t="n"/>
      <c r="J402" s="5" t="n"/>
      <c r="K402" s="33" t="n">
        <v>28365.81</v>
      </c>
      <c r="L402" s="34" t="n">
        <v>16</v>
      </c>
      <c r="M402" s="5" t="inlineStr">
        <is>
          <t>2026-06-30</t>
        </is>
      </c>
    </row>
    <row r="403">
      <c r="A403" s="5" t="inlineStr">
        <is>
          <t>contributions_top_zips</t>
        </is>
      </c>
      <c r="B403" s="5" t="n">
        <v>2026</v>
      </c>
      <c r="C403" s="5" t="inlineStr">
        <is>
          <t>Ryan Mackenzie</t>
        </is>
      </c>
      <c r="D403" s="5" t="inlineStr">
        <is>
          <t>REP</t>
        </is>
      </c>
      <c r="E403" s="5" t="n"/>
      <c r="F403" s="5" t="n"/>
      <c r="G403" s="5" t="inlineStr">
        <is>
          <t>75219</t>
        </is>
      </c>
      <c r="H403" s="5" t="n"/>
      <c r="I403" s="5" t="n"/>
      <c r="J403" s="5" t="n"/>
      <c r="K403" s="33" t="n">
        <v>26867.96</v>
      </c>
      <c r="L403" s="34" t="n">
        <v>11</v>
      </c>
      <c r="M403" s="5" t="inlineStr">
        <is>
          <t>2026-06-30</t>
        </is>
      </c>
    </row>
    <row r="404">
      <c r="A404" s="5" t="inlineStr">
        <is>
          <t>contributions_top_zips</t>
        </is>
      </c>
      <c r="B404" s="5" t="n">
        <v>2026</v>
      </c>
      <c r="C404" s="5" t="inlineStr">
        <is>
          <t>Ryan Mackenzie</t>
        </is>
      </c>
      <c r="D404" s="5" t="inlineStr">
        <is>
          <t>REP</t>
        </is>
      </c>
      <c r="E404" s="5" t="n"/>
      <c r="F404" s="5" t="n"/>
      <c r="G404" s="5" t="inlineStr">
        <is>
          <t>18015</t>
        </is>
      </c>
      <c r="H404" s="5" t="n"/>
      <c r="I404" s="5" t="n"/>
      <c r="J404" s="5" t="n"/>
      <c r="K404" s="33" t="n">
        <v>26183.82</v>
      </c>
      <c r="L404" s="34" t="n">
        <v>36</v>
      </c>
      <c r="M404" s="5" t="inlineStr">
        <is>
          <t>2026-06-30</t>
        </is>
      </c>
    </row>
    <row r="405">
      <c r="A405" s="5" t="inlineStr">
        <is>
          <t>contributions_top_zips</t>
        </is>
      </c>
      <c r="B405" s="5" t="n">
        <v>2026</v>
      </c>
      <c r="C405" s="5" t="inlineStr">
        <is>
          <t>Ryan Mackenzie</t>
        </is>
      </c>
      <c r="D405" s="5" t="inlineStr">
        <is>
          <t>REP</t>
        </is>
      </c>
      <c r="E405" s="5" t="n"/>
      <c r="F405" s="5" t="n"/>
      <c r="G405" s="5" t="inlineStr">
        <is>
          <t>33401</t>
        </is>
      </c>
      <c r="H405" s="5" t="n"/>
      <c r="I405" s="5" t="n"/>
      <c r="J405" s="5" t="n"/>
      <c r="K405" s="33" t="n">
        <v>22088.95</v>
      </c>
      <c r="L405" s="34" t="n">
        <v>9</v>
      </c>
      <c r="M405" s="5" t="inlineStr">
        <is>
          <t>2026-06-30</t>
        </is>
      </c>
    </row>
    <row r="406">
      <c r="A406" s="5" t="inlineStr">
        <is>
          <t>contributions_top_zips</t>
        </is>
      </c>
      <c r="B406" s="5" t="n">
        <v>2026</v>
      </c>
      <c r="C406" s="5" t="inlineStr">
        <is>
          <t>Ryan Mackenzie</t>
        </is>
      </c>
      <c r="D406" s="5" t="inlineStr">
        <is>
          <t>REP</t>
        </is>
      </c>
      <c r="E406" s="5" t="n"/>
      <c r="F406" s="5" t="n"/>
      <c r="G406" s="5" t="inlineStr">
        <is>
          <t>18045</t>
        </is>
      </c>
      <c r="H406" s="5" t="n"/>
      <c r="I406" s="5" t="n"/>
      <c r="J406" s="5" t="n"/>
      <c r="K406" s="33" t="n">
        <v>21998.57</v>
      </c>
      <c r="L406" s="34" t="n">
        <v>20</v>
      </c>
      <c r="M406" s="5" t="inlineStr">
        <is>
          <t>2026-06-30</t>
        </is>
      </c>
    </row>
    <row r="407">
      <c r="A407" s="5" t="inlineStr">
        <is>
          <t>contributions_by_occupation</t>
        </is>
      </c>
      <c r="B407" s="5" t="n">
        <v>2026</v>
      </c>
      <c r="C407" s="5" t="inlineStr">
        <is>
          <t>Ryan Mackenzie</t>
        </is>
      </c>
      <c r="D407" s="5" t="inlineStr">
        <is>
          <t>REP</t>
        </is>
      </c>
      <c r="E407" s="5" t="n"/>
      <c r="F407" s="5" t="n"/>
      <c r="G407" s="5" t="inlineStr">
        <is>
          <t>RETIRED</t>
        </is>
      </c>
      <c r="H407" s="5" t="n"/>
      <c r="I407" s="5" t="n"/>
      <c r="J407" s="5" t="n"/>
      <c r="K407" s="33" t="n">
        <v>757056.16</v>
      </c>
      <c r="L407" s="34" t="n">
        <v>10536</v>
      </c>
      <c r="M407" s="5" t="inlineStr">
        <is>
          <t>2026-06-30</t>
        </is>
      </c>
    </row>
    <row r="408">
      <c r="A408" s="5" t="inlineStr">
        <is>
          <t>contributions_by_occupation</t>
        </is>
      </c>
      <c r="B408" s="5" t="n">
        <v>2026</v>
      </c>
      <c r="C408" s="5" t="inlineStr">
        <is>
          <t>Ryan Mackenzie</t>
        </is>
      </c>
      <c r="D408" s="5" t="inlineStr">
        <is>
          <t>REP</t>
        </is>
      </c>
      <c r="E408" s="5" t="n"/>
      <c r="F408" s="5" t="n"/>
      <c r="G408" s="5" t="inlineStr">
        <is>
          <t>CEO</t>
        </is>
      </c>
      <c r="H408" s="5" t="n"/>
      <c r="I408" s="5" t="n"/>
      <c r="J408" s="5" t="n"/>
      <c r="K408" s="33" t="n">
        <v>309337.13</v>
      </c>
      <c r="L408" s="34" t="n">
        <v>275</v>
      </c>
      <c r="M408" s="5" t="inlineStr">
        <is>
          <t>2026-06-30</t>
        </is>
      </c>
    </row>
    <row r="409">
      <c r="A409" s="5" t="inlineStr">
        <is>
          <t>contributions_by_occupation</t>
        </is>
      </c>
      <c r="B409" s="5" t="n">
        <v>2026</v>
      </c>
      <c r="C409" s="5" t="inlineStr">
        <is>
          <t>Ryan Mackenzie</t>
        </is>
      </c>
      <c r="D409" s="5" t="inlineStr">
        <is>
          <t>REP</t>
        </is>
      </c>
      <c r="E409" s="5" t="n"/>
      <c r="F409" s="5" t="n"/>
      <c r="G409" s="5" t="inlineStr">
        <is>
          <t>OWNER</t>
        </is>
      </c>
      <c r="H409" s="5" t="n"/>
      <c r="I409" s="5" t="n"/>
      <c r="J409" s="5" t="n"/>
      <c r="K409" s="33" t="n">
        <v>169174.26</v>
      </c>
      <c r="L409" s="34" t="n">
        <v>142</v>
      </c>
      <c r="M409" s="5" t="inlineStr">
        <is>
          <t>2026-06-30</t>
        </is>
      </c>
    </row>
    <row r="410">
      <c r="A410" s="5" t="inlineStr">
        <is>
          <t>contributions_by_occupation</t>
        </is>
      </c>
      <c r="B410" s="5" t="n">
        <v>2026</v>
      </c>
      <c r="C410" s="5" t="inlineStr">
        <is>
          <t>Ryan Mackenzie</t>
        </is>
      </c>
      <c r="D410" s="5" t="inlineStr">
        <is>
          <t>REP</t>
        </is>
      </c>
      <c r="E410" s="5" t="n"/>
      <c r="F410" s="5" t="n"/>
      <c r="G410" s="5" t="inlineStr">
        <is>
          <t>CHAIRMAN</t>
        </is>
      </c>
      <c r="H410" s="5" t="n"/>
      <c r="I410" s="5" t="n"/>
      <c r="J410" s="5" t="n"/>
      <c r="K410" s="33" t="n">
        <v>126323.31</v>
      </c>
      <c r="L410" s="34" t="n">
        <v>75</v>
      </c>
      <c r="M410" s="5" t="inlineStr">
        <is>
          <t>2026-06-30</t>
        </is>
      </c>
    </row>
    <row r="411">
      <c r="A411" s="5" t="inlineStr">
        <is>
          <t>contributions_by_occupation</t>
        </is>
      </c>
      <c r="B411" s="5" t="n">
        <v>2026</v>
      </c>
      <c r="C411" s="5" t="inlineStr">
        <is>
          <t>Ryan Mackenzie</t>
        </is>
      </c>
      <c r="D411" s="5" t="inlineStr">
        <is>
          <t>REP</t>
        </is>
      </c>
      <c r="E411" s="5" t="n"/>
      <c r="F411" s="5" t="n"/>
      <c r="G411" s="5" t="inlineStr">
        <is>
          <t>PRESIDENT</t>
        </is>
      </c>
      <c r="H411" s="5" t="n"/>
      <c r="I411" s="5" t="n"/>
      <c r="J411" s="5" t="n"/>
      <c r="K411" s="33" t="n">
        <v>124651.54</v>
      </c>
      <c r="L411" s="34" t="n">
        <v>94</v>
      </c>
      <c r="M411" s="5" t="inlineStr">
        <is>
          <t>2026-06-30</t>
        </is>
      </c>
    </row>
    <row r="412">
      <c r="A412" s="5" t="inlineStr">
        <is>
          <t>contributions_by_occupation</t>
        </is>
      </c>
      <c r="B412" s="5" t="n">
        <v>2026</v>
      </c>
      <c r="C412" s="5" t="inlineStr">
        <is>
          <t>Ryan Mackenzie</t>
        </is>
      </c>
      <c r="D412" s="5" t="inlineStr">
        <is>
          <t>REP</t>
        </is>
      </c>
      <c r="E412" s="5" t="n"/>
      <c r="F412" s="5" t="n"/>
      <c r="G412" s="5" t="inlineStr">
        <is>
          <t>EXECUTIVE</t>
        </is>
      </c>
      <c r="H412" s="5" t="n"/>
      <c r="I412" s="5" t="n"/>
      <c r="J412" s="5" t="n"/>
      <c r="K412" s="33" t="n">
        <v>107698.83</v>
      </c>
      <c r="L412" s="34" t="n">
        <v>71</v>
      </c>
      <c r="M412" s="5" t="inlineStr">
        <is>
          <t>2026-06-30</t>
        </is>
      </c>
    </row>
    <row r="413">
      <c r="A413" s="5" t="inlineStr">
        <is>
          <t>contributions_by_occupation</t>
        </is>
      </c>
      <c r="B413" s="5" t="n">
        <v>2026</v>
      </c>
      <c r="C413" s="5" t="inlineStr">
        <is>
          <t>Ryan Mackenzie</t>
        </is>
      </c>
      <c r="D413" s="5" t="inlineStr">
        <is>
          <t>REP</t>
        </is>
      </c>
      <c r="E413" s="5" t="n"/>
      <c r="F413" s="5" t="n"/>
      <c r="G413" s="5" t="inlineStr">
        <is>
          <t>FOUNDER</t>
        </is>
      </c>
      <c r="H413" s="5" t="n"/>
      <c r="I413" s="5" t="n"/>
      <c r="J413" s="5" t="n"/>
      <c r="K413" s="33" t="n">
        <v>105830.87</v>
      </c>
      <c r="L413" s="34" t="n">
        <v>51</v>
      </c>
      <c r="M413" s="5" t="inlineStr">
        <is>
          <t>2026-06-30</t>
        </is>
      </c>
    </row>
    <row r="414">
      <c r="A414" s="5" t="inlineStr">
        <is>
          <t>contributions_by_occupation</t>
        </is>
      </c>
      <c r="B414" s="5" t="n">
        <v>2026</v>
      </c>
      <c r="C414" s="5" t="inlineStr">
        <is>
          <t>Ryan Mackenzie</t>
        </is>
      </c>
      <c r="D414" s="5" t="inlineStr">
        <is>
          <t>REP</t>
        </is>
      </c>
      <c r="E414" s="5" t="n"/>
      <c r="F414" s="5" t="n"/>
      <c r="G414" s="5" t="inlineStr">
        <is>
          <t>HOMEMAKER</t>
        </is>
      </c>
      <c r="H414" s="5" t="n"/>
      <c r="I414" s="5" t="n"/>
      <c r="J414" s="5" t="n"/>
      <c r="K414" s="33" t="n">
        <v>76092.81</v>
      </c>
      <c r="L414" s="34" t="n">
        <v>49</v>
      </c>
      <c r="M414" s="5" t="inlineStr">
        <is>
          <t>2026-06-30</t>
        </is>
      </c>
    </row>
    <row r="415">
      <c r="A415" s="5" t="inlineStr">
        <is>
          <t>contributions_by_occupation</t>
        </is>
      </c>
      <c r="B415" s="5" t="n">
        <v>2026</v>
      </c>
      <c r="C415" s="5" t="inlineStr">
        <is>
          <t>Ryan Mackenzie</t>
        </is>
      </c>
      <c r="D415" s="5" t="inlineStr">
        <is>
          <t>REP</t>
        </is>
      </c>
      <c r="E415" s="5" t="n"/>
      <c r="F415" s="5" t="n"/>
      <c r="G415" s="5" t="inlineStr">
        <is>
          <t>INVESTOR</t>
        </is>
      </c>
      <c r="H415" s="5" t="n"/>
      <c r="I415" s="5" t="n"/>
      <c r="J415" s="5" t="n"/>
      <c r="K415" s="33" t="n">
        <v>75497.97</v>
      </c>
      <c r="L415" s="34" t="n">
        <v>58</v>
      </c>
      <c r="M415" s="5" t="inlineStr">
        <is>
          <t>2026-06-30</t>
        </is>
      </c>
    </row>
    <row r="416">
      <c r="A416" s="5" t="inlineStr">
        <is>
          <t>contributions_by_occupation</t>
        </is>
      </c>
      <c r="B416" s="5" t="n">
        <v>2026</v>
      </c>
      <c r="C416" s="5" t="inlineStr">
        <is>
          <t>Ryan Mackenzie</t>
        </is>
      </c>
      <c r="D416" s="5" t="inlineStr">
        <is>
          <t>REP</t>
        </is>
      </c>
      <c r="E416" s="5" t="n"/>
      <c r="F416" s="5" t="n"/>
      <c r="G416" s="5" t="inlineStr">
        <is>
          <t>ATTORNEY</t>
        </is>
      </c>
      <c r="H416" s="5" t="n"/>
      <c r="I416" s="5" t="n"/>
      <c r="J416" s="5" t="n"/>
      <c r="K416" s="33" t="n">
        <v>68701.13</v>
      </c>
      <c r="L416" s="34" t="n">
        <v>67</v>
      </c>
      <c r="M416" s="5" t="inlineStr">
        <is>
          <t>2026-06-30</t>
        </is>
      </c>
    </row>
    <row r="417">
      <c r="A417" s="5" t="inlineStr">
        <is>
          <t>contributions_by_occupation</t>
        </is>
      </c>
      <c r="B417" s="5" t="n">
        <v>2026</v>
      </c>
      <c r="C417" s="5" t="inlineStr">
        <is>
          <t>Ryan Mackenzie</t>
        </is>
      </c>
      <c r="D417" s="5" t="inlineStr">
        <is>
          <t>REP</t>
        </is>
      </c>
      <c r="E417" s="5" t="n"/>
      <c r="F417" s="5" t="n"/>
      <c r="G417" s="5" t="inlineStr">
        <is>
          <t>MANAGING DIRECTOR</t>
        </is>
      </c>
      <c r="H417" s="5" t="n"/>
      <c r="I417" s="5" t="n"/>
      <c r="J417" s="5" t="n"/>
      <c r="K417" s="33" t="n">
        <v>30316.26</v>
      </c>
      <c r="L417" s="34" t="n">
        <v>15</v>
      </c>
      <c r="M417" s="5" t="inlineStr">
        <is>
          <t>2026-06-30</t>
        </is>
      </c>
    </row>
    <row r="418">
      <c r="A418" s="5" t="inlineStr">
        <is>
          <t>contributions_by_occupation</t>
        </is>
      </c>
      <c r="B418" s="5" t="n">
        <v>2026</v>
      </c>
      <c r="C418" s="5" t="inlineStr">
        <is>
          <t>Ryan Mackenzie</t>
        </is>
      </c>
      <c r="D418" s="5" t="inlineStr">
        <is>
          <t>REP</t>
        </is>
      </c>
      <c r="E418" s="5" t="n"/>
      <c r="F418" s="5" t="n"/>
      <c r="G418" s="5" t="inlineStr">
        <is>
          <t>CO-CEO</t>
        </is>
      </c>
      <c r="H418" s="5" t="n"/>
      <c r="I418" s="5" t="n"/>
      <c r="J418" s="5" t="n"/>
      <c r="K418" s="33" t="n">
        <v>23913.33</v>
      </c>
      <c r="L418" s="34" t="n">
        <v>8</v>
      </c>
      <c r="M418" s="5" t="inlineStr">
        <is>
          <t>2026-06-30</t>
        </is>
      </c>
    </row>
    <row r="419">
      <c r="A419" s="5" t="inlineStr">
        <is>
          <t>history_finance</t>
        </is>
      </c>
      <c r="B419" s="5" t="n">
        <v>2018</v>
      </c>
      <c r="C419" s="5" t="inlineStr">
        <is>
          <t>Susan Wild</t>
        </is>
      </c>
      <c r="D419" s="5" t="inlineStr">
        <is>
          <t>DEM</t>
        </is>
      </c>
      <c r="E419" s="5" t="n"/>
      <c r="F419" s="5" t="n"/>
      <c r="G419" s="5" t="inlineStr">
        <is>
          <t>Receipts</t>
        </is>
      </c>
      <c r="H419" s="5" t="n"/>
      <c r="I419" s="5" t="n"/>
      <c r="J419" s="5" t="n"/>
      <c r="K419" s="33" t="n">
        <v>3320188.01</v>
      </c>
      <c r="L419" s="34" t="n"/>
      <c r="M419" s="5" t="inlineStr">
        <is>
          <t>2018-11-06</t>
        </is>
      </c>
    </row>
    <row r="420">
      <c r="A420" s="5" t="inlineStr">
        <is>
          <t>history_finance</t>
        </is>
      </c>
      <c r="B420" s="5" t="n">
        <v>2018</v>
      </c>
      <c r="C420" s="5" t="inlineStr">
        <is>
          <t>Susan Wild</t>
        </is>
      </c>
      <c r="D420" s="5" t="inlineStr">
        <is>
          <t>DEM</t>
        </is>
      </c>
      <c r="E420" s="5" t="n"/>
      <c r="F420" s="5" t="n"/>
      <c r="G420" s="5" t="inlineStr">
        <is>
          <t>Disbursements</t>
        </is>
      </c>
      <c r="H420" s="5" t="n"/>
      <c r="I420" s="5" t="n"/>
      <c r="J420" s="5" t="n"/>
      <c r="K420" s="33" t="n">
        <v>3294280.32</v>
      </c>
      <c r="L420" s="34" t="n"/>
      <c r="M420" s="5" t="inlineStr">
        <is>
          <t>2018-11-06</t>
        </is>
      </c>
    </row>
    <row r="421">
      <c r="A421" s="5" t="inlineStr">
        <is>
          <t>history_finance</t>
        </is>
      </c>
      <c r="B421" s="5" t="n">
        <v>2018</v>
      </c>
      <c r="C421" s="5" t="inlineStr">
        <is>
          <t>Susan Wild</t>
        </is>
      </c>
      <c r="D421" s="5" t="inlineStr">
        <is>
          <t>DEM</t>
        </is>
      </c>
      <c r="E421" s="5" t="n"/>
      <c r="F421" s="5" t="n"/>
      <c r="G421" s="5" t="inlineStr">
        <is>
          <t>Cash on hand at year end</t>
        </is>
      </c>
      <c r="H421" s="5" t="n"/>
      <c r="I421" s="5" t="n"/>
      <c r="J421" s="5" t="n"/>
      <c r="K421" s="33" t="n">
        <v>25907.69</v>
      </c>
      <c r="L421" s="34" t="n"/>
      <c r="M421" s="5" t="inlineStr">
        <is>
          <t>2018-11-06</t>
        </is>
      </c>
    </row>
    <row r="422">
      <c r="A422" s="5" t="inlineStr">
        <is>
          <t>history_finance</t>
        </is>
      </c>
      <c r="B422" s="5" t="n">
        <v>2018</v>
      </c>
      <c r="C422" s="5" t="inlineStr">
        <is>
          <t>Susan Wild</t>
        </is>
      </c>
      <c r="D422" s="5" t="inlineStr">
        <is>
          <t>DEM</t>
        </is>
      </c>
      <c r="E422" s="5" t="n"/>
      <c r="F422" s="5" t="n"/>
      <c r="G422" s="5" t="inlineStr">
        <is>
          <t>Individual contributions</t>
        </is>
      </c>
      <c r="H422" s="5" t="n"/>
      <c r="I422" s="5" t="n"/>
      <c r="J422" s="5" t="n"/>
      <c r="K422" s="33" t="n">
        <v>2216364.61</v>
      </c>
      <c r="L422" s="34" t="n"/>
      <c r="M422" s="5" t="inlineStr">
        <is>
          <t>2018-11-06</t>
        </is>
      </c>
    </row>
    <row r="423">
      <c r="A423" s="5" t="inlineStr">
        <is>
          <t>history_finance</t>
        </is>
      </c>
      <c r="B423" s="5" t="n">
        <v>2018</v>
      </c>
      <c r="C423" s="5" t="inlineStr">
        <is>
          <t>Susan Wild</t>
        </is>
      </c>
      <c r="D423" s="5" t="inlineStr">
        <is>
          <t>DEM</t>
        </is>
      </c>
      <c r="E423" s="5" t="n"/>
      <c r="F423" s="5" t="n"/>
      <c r="G423" s="5" t="inlineStr">
        <is>
          <t>PAC contributions</t>
        </is>
      </c>
      <c r="H423" s="5" t="n"/>
      <c r="I423" s="5" t="n"/>
      <c r="J423" s="5" t="n"/>
      <c r="K423" s="33" t="n">
        <v>535757.8199999999</v>
      </c>
      <c r="L423" s="34" t="n"/>
      <c r="M423" s="5" t="inlineStr">
        <is>
          <t>2018-11-06</t>
        </is>
      </c>
    </row>
    <row r="424">
      <c r="A424" s="5" t="inlineStr">
        <is>
          <t>history_finance</t>
        </is>
      </c>
      <c r="B424" s="5" t="n">
        <v>2018</v>
      </c>
      <c r="C424" s="5" t="inlineStr">
        <is>
          <t>Susan Wild</t>
        </is>
      </c>
      <c r="D424" s="5" t="inlineStr">
        <is>
          <t>DEM</t>
        </is>
      </c>
      <c r="E424" s="5" t="n"/>
      <c r="F424" s="5" t="n"/>
      <c r="G424" s="5" t="inlineStr">
        <is>
          <t>Outside spending supporting</t>
        </is>
      </c>
      <c r="H424" s="5" t="n"/>
      <c r="I424" s="5" t="n"/>
      <c r="J424" s="5" t="n"/>
      <c r="K424" s="33" t="n">
        <v>558727.21</v>
      </c>
      <c r="L424" s="34" t="n"/>
      <c r="M424" s="5" t="inlineStr">
        <is>
          <t>2018-11-06</t>
        </is>
      </c>
    </row>
    <row r="425">
      <c r="A425" s="5" t="inlineStr">
        <is>
          <t>history_finance</t>
        </is>
      </c>
      <c r="B425" s="5" t="n">
        <v>2018</v>
      </c>
      <c r="C425" s="5" t="inlineStr">
        <is>
          <t>Susan Wild</t>
        </is>
      </c>
      <c r="D425" s="5" t="inlineStr">
        <is>
          <t>DEM</t>
        </is>
      </c>
      <c r="E425" s="5" t="n"/>
      <c r="F425" s="5" t="n"/>
      <c r="G425" s="5" t="inlineStr">
        <is>
          <t>Outside spending opposing</t>
        </is>
      </c>
      <c r="H425" s="5" t="n"/>
      <c r="I425" s="5" t="n"/>
      <c r="J425" s="5" t="n"/>
      <c r="K425" s="33" t="n">
        <v>221405.25</v>
      </c>
      <c r="L425" s="34" t="n"/>
      <c r="M425" s="5" t="inlineStr">
        <is>
          <t>2018-11-06</t>
        </is>
      </c>
    </row>
    <row r="426">
      <c r="A426" s="5" t="inlineStr">
        <is>
          <t>history_result</t>
        </is>
      </c>
      <c r="B426" s="5" t="n">
        <v>2018</v>
      </c>
      <c r="C426" s="5" t="inlineStr">
        <is>
          <t>Susan Wild</t>
        </is>
      </c>
      <c r="D426" s="5" t="inlineStr">
        <is>
          <t>DEM</t>
        </is>
      </c>
      <c r="E426" s="5" t="n"/>
      <c r="F426" s="5" t="n"/>
      <c r="G426" s="5" t="inlineStr">
        <is>
          <t>General election votes</t>
        </is>
      </c>
      <c r="H426" s="5" t="inlineStr">
        <is>
          <t>won</t>
        </is>
      </c>
      <c r="I426" s="5" t="n"/>
      <c r="J426" s="5" t="n"/>
      <c r="K426" s="33" t="n"/>
      <c r="L426" s="34" t="n">
        <v>140813</v>
      </c>
      <c r="M426" s="5" t="inlineStr">
        <is>
          <t>2018-11-06</t>
        </is>
      </c>
    </row>
    <row r="427">
      <c r="A427" s="5" t="inlineStr">
        <is>
          <t>history_finance</t>
        </is>
      </c>
      <c r="B427" s="5" t="n">
        <v>2018</v>
      </c>
      <c r="C427" s="5" t="inlineStr">
        <is>
          <t>Marty Nothstein</t>
        </is>
      </c>
      <c r="D427" s="5" t="inlineStr">
        <is>
          <t>REP</t>
        </is>
      </c>
      <c r="E427" s="5" t="n"/>
      <c r="F427" s="5" t="n"/>
      <c r="G427" s="5" t="inlineStr">
        <is>
          <t>Receipts</t>
        </is>
      </c>
      <c r="H427" s="5" t="n"/>
      <c r="I427" s="5" t="n"/>
      <c r="J427" s="5" t="n"/>
      <c r="K427" s="33" t="n">
        <v>985643.72</v>
      </c>
      <c r="L427" s="34" t="n"/>
      <c r="M427" s="5" t="inlineStr">
        <is>
          <t>2018-11-06</t>
        </is>
      </c>
    </row>
    <row r="428">
      <c r="A428" s="5" t="inlineStr">
        <is>
          <t>history_finance</t>
        </is>
      </c>
      <c r="B428" s="5" t="n">
        <v>2018</v>
      </c>
      <c r="C428" s="5" t="inlineStr">
        <is>
          <t>Marty Nothstein</t>
        </is>
      </c>
      <c r="D428" s="5" t="inlineStr">
        <is>
          <t>REP</t>
        </is>
      </c>
      <c r="E428" s="5" t="n"/>
      <c r="F428" s="5" t="n"/>
      <c r="G428" s="5" t="inlineStr">
        <is>
          <t>Disbursements</t>
        </is>
      </c>
      <c r="H428" s="5" t="n"/>
      <c r="I428" s="5" t="n"/>
      <c r="J428" s="5" t="n"/>
      <c r="K428" s="33" t="n">
        <v>958873.74</v>
      </c>
      <c r="L428" s="34" t="n"/>
      <c r="M428" s="5" t="inlineStr">
        <is>
          <t>2018-11-06</t>
        </is>
      </c>
    </row>
    <row r="429">
      <c r="A429" s="5" t="inlineStr">
        <is>
          <t>history_finance</t>
        </is>
      </c>
      <c r="B429" s="5" t="n">
        <v>2018</v>
      </c>
      <c r="C429" s="5" t="inlineStr">
        <is>
          <t>Marty Nothstein</t>
        </is>
      </c>
      <c r="D429" s="5" t="inlineStr">
        <is>
          <t>REP</t>
        </is>
      </c>
      <c r="E429" s="5" t="n"/>
      <c r="F429" s="5" t="n"/>
      <c r="G429" s="5" t="inlineStr">
        <is>
          <t>Cash on hand at year end</t>
        </is>
      </c>
      <c r="H429" s="5" t="n"/>
      <c r="I429" s="5" t="n"/>
      <c r="J429" s="5" t="n"/>
      <c r="K429" s="33" t="n">
        <v>26769.98</v>
      </c>
      <c r="L429" s="34" t="n"/>
      <c r="M429" s="5" t="inlineStr">
        <is>
          <t>2018-11-06</t>
        </is>
      </c>
    </row>
    <row r="430">
      <c r="A430" s="5" t="inlineStr">
        <is>
          <t>history_finance</t>
        </is>
      </c>
      <c r="B430" s="5" t="n">
        <v>2018</v>
      </c>
      <c r="C430" s="5" t="inlineStr">
        <is>
          <t>Marty Nothstein</t>
        </is>
      </c>
      <c r="D430" s="5" t="inlineStr">
        <is>
          <t>REP</t>
        </is>
      </c>
      <c r="E430" s="5" t="n"/>
      <c r="F430" s="5" t="n"/>
      <c r="G430" s="5" t="inlineStr">
        <is>
          <t>Individual contributions</t>
        </is>
      </c>
      <c r="H430" s="5" t="n"/>
      <c r="I430" s="5" t="n"/>
      <c r="J430" s="5" t="n"/>
      <c r="K430" s="33" t="n">
        <v>611185.92</v>
      </c>
      <c r="L430" s="34" t="n"/>
      <c r="M430" s="5" t="inlineStr">
        <is>
          <t>2018-11-06</t>
        </is>
      </c>
    </row>
    <row r="431">
      <c r="A431" s="5" t="inlineStr">
        <is>
          <t>history_finance</t>
        </is>
      </c>
      <c r="B431" s="5" t="n">
        <v>2018</v>
      </c>
      <c r="C431" s="5" t="inlineStr">
        <is>
          <t>Marty Nothstein</t>
        </is>
      </c>
      <c r="D431" s="5" t="inlineStr">
        <is>
          <t>REP</t>
        </is>
      </c>
      <c r="E431" s="5" t="n"/>
      <c r="F431" s="5" t="n"/>
      <c r="G431" s="5" t="inlineStr">
        <is>
          <t>PAC contributions</t>
        </is>
      </c>
      <c r="H431" s="5" t="n"/>
      <c r="I431" s="5" t="n"/>
      <c r="J431" s="5" t="n"/>
      <c r="K431" s="33" t="n">
        <v>223856.6</v>
      </c>
      <c r="L431" s="34" t="n"/>
      <c r="M431" s="5" t="inlineStr">
        <is>
          <t>2018-11-06</t>
        </is>
      </c>
    </row>
    <row r="432">
      <c r="A432" s="5" t="inlineStr">
        <is>
          <t>history_finance</t>
        </is>
      </c>
      <c r="B432" s="5" t="n">
        <v>2018</v>
      </c>
      <c r="C432" s="5" t="inlineStr">
        <is>
          <t>Marty Nothstein</t>
        </is>
      </c>
      <c r="D432" s="5" t="inlineStr">
        <is>
          <t>REP</t>
        </is>
      </c>
      <c r="E432" s="5" t="n"/>
      <c r="F432" s="5" t="n"/>
      <c r="G432" s="5" t="inlineStr">
        <is>
          <t>Outside spending supporting</t>
        </is>
      </c>
      <c r="H432" s="5" t="n"/>
      <c r="I432" s="5" t="n"/>
      <c r="J432" s="5" t="n"/>
      <c r="K432" s="33" t="n">
        <v>132142.37</v>
      </c>
      <c r="L432" s="34" t="n"/>
      <c r="M432" s="5" t="inlineStr">
        <is>
          <t>2018-11-06</t>
        </is>
      </c>
    </row>
    <row r="433">
      <c r="A433" s="5" t="inlineStr">
        <is>
          <t>history_finance</t>
        </is>
      </c>
      <c r="B433" s="5" t="n">
        <v>2018</v>
      </c>
      <c r="C433" s="5" t="inlineStr">
        <is>
          <t>Marty Nothstein</t>
        </is>
      </c>
      <c r="D433" s="5" t="inlineStr">
        <is>
          <t>REP</t>
        </is>
      </c>
      <c r="E433" s="5" t="n"/>
      <c r="F433" s="5" t="n"/>
      <c r="G433" s="5" t="inlineStr">
        <is>
          <t>Outside spending opposing</t>
        </is>
      </c>
      <c r="H433" s="5" t="n"/>
      <c r="I433" s="5" t="n"/>
      <c r="J433" s="5" t="n"/>
      <c r="K433" s="33" t="n">
        <v>1722119.87</v>
      </c>
      <c r="L433" s="34" t="n"/>
      <c r="M433" s="5" t="inlineStr">
        <is>
          <t>2018-11-06</t>
        </is>
      </c>
    </row>
    <row r="434">
      <c r="A434" s="5" t="inlineStr">
        <is>
          <t>history_result</t>
        </is>
      </c>
      <c r="B434" s="5" t="n">
        <v>2018</v>
      </c>
      <c r="C434" s="5" t="inlineStr">
        <is>
          <t>Marty Nothstein</t>
        </is>
      </c>
      <c r="D434" s="5" t="inlineStr">
        <is>
          <t>REP</t>
        </is>
      </c>
      <c r="E434" s="5" t="n"/>
      <c r="F434" s="5" t="n"/>
      <c r="G434" s="5" t="inlineStr">
        <is>
          <t>General election votes</t>
        </is>
      </c>
      <c r="H434" s="5" t="inlineStr">
        <is>
          <t>lost</t>
        </is>
      </c>
      <c r="I434" s="5" t="n"/>
      <c r="J434" s="5" t="n"/>
      <c r="K434" s="33" t="n"/>
      <c r="L434" s="34" t="n">
        <v>114437</v>
      </c>
      <c r="M434" s="5" t="inlineStr">
        <is>
          <t>2018-11-06</t>
        </is>
      </c>
    </row>
    <row r="435">
      <c r="A435" s="5" t="inlineStr">
        <is>
          <t>history_finance</t>
        </is>
      </c>
      <c r="B435" s="5" t="n">
        <v>2020</v>
      </c>
      <c r="C435" s="5" t="inlineStr">
        <is>
          <t>Susan Wild</t>
        </is>
      </c>
      <c r="D435" s="5" t="inlineStr">
        <is>
          <t>DEM</t>
        </is>
      </c>
      <c r="E435" s="5" t="n"/>
      <c r="F435" s="5" t="n"/>
      <c r="G435" s="5" t="inlineStr">
        <is>
          <t>Receipts</t>
        </is>
      </c>
      <c r="H435" s="5" t="n"/>
      <c r="I435" s="5" t="n"/>
      <c r="J435" s="5" t="n"/>
      <c r="K435" s="33" t="n">
        <v>4644289.9</v>
      </c>
      <c r="L435" s="34" t="n"/>
      <c r="M435" s="5" t="inlineStr">
        <is>
          <t>2020-11-03</t>
        </is>
      </c>
    </row>
    <row r="436">
      <c r="A436" s="5" t="inlineStr">
        <is>
          <t>history_finance</t>
        </is>
      </c>
      <c r="B436" s="5" t="n">
        <v>2020</v>
      </c>
      <c r="C436" s="5" t="inlineStr">
        <is>
          <t>Susan Wild</t>
        </is>
      </c>
      <c r="D436" s="5" t="inlineStr">
        <is>
          <t>DEM</t>
        </is>
      </c>
      <c r="E436" s="5" t="n"/>
      <c r="F436" s="5" t="n"/>
      <c r="G436" s="5" t="inlineStr">
        <is>
          <t>Disbursements</t>
        </is>
      </c>
      <c r="H436" s="5" t="n"/>
      <c r="I436" s="5" t="n"/>
      <c r="J436" s="5" t="n"/>
      <c r="K436" s="33" t="n">
        <v>4591501.23</v>
      </c>
      <c r="L436" s="34" t="n"/>
      <c r="M436" s="5" t="inlineStr">
        <is>
          <t>2020-11-03</t>
        </is>
      </c>
    </row>
    <row r="437">
      <c r="A437" s="5" t="inlineStr">
        <is>
          <t>history_finance</t>
        </is>
      </c>
      <c r="B437" s="5" t="n">
        <v>2020</v>
      </c>
      <c r="C437" s="5" t="inlineStr">
        <is>
          <t>Susan Wild</t>
        </is>
      </c>
      <c r="D437" s="5" t="inlineStr">
        <is>
          <t>DEM</t>
        </is>
      </c>
      <c r="E437" s="5" t="n"/>
      <c r="F437" s="5" t="n"/>
      <c r="G437" s="5" t="inlineStr">
        <is>
          <t>Cash on hand at year end</t>
        </is>
      </c>
      <c r="H437" s="5" t="n"/>
      <c r="I437" s="5" t="n"/>
      <c r="J437" s="5" t="n"/>
      <c r="K437" s="33" t="n">
        <v>78696.36</v>
      </c>
      <c r="L437" s="34" t="n"/>
      <c r="M437" s="5" t="inlineStr">
        <is>
          <t>2020-11-03</t>
        </is>
      </c>
    </row>
    <row r="438">
      <c r="A438" s="5" t="inlineStr">
        <is>
          <t>history_finance</t>
        </is>
      </c>
      <c r="B438" s="5" t="n">
        <v>2020</v>
      </c>
      <c r="C438" s="5" t="inlineStr">
        <is>
          <t>Susan Wild</t>
        </is>
      </c>
      <c r="D438" s="5" t="inlineStr">
        <is>
          <t>DEM</t>
        </is>
      </c>
      <c r="E438" s="5" t="n"/>
      <c r="F438" s="5" t="n"/>
      <c r="G438" s="5" t="inlineStr">
        <is>
          <t>Individual contributions</t>
        </is>
      </c>
      <c r="H438" s="5" t="n"/>
      <c r="I438" s="5" t="n"/>
      <c r="J438" s="5" t="n"/>
      <c r="K438" s="33" t="n">
        <v>3417373.86</v>
      </c>
      <c r="L438" s="34" t="n"/>
      <c r="M438" s="5" t="inlineStr">
        <is>
          <t>2020-11-03</t>
        </is>
      </c>
    </row>
    <row r="439">
      <c r="A439" s="5" t="inlineStr">
        <is>
          <t>history_finance</t>
        </is>
      </c>
      <c r="B439" s="5" t="n">
        <v>2020</v>
      </c>
      <c r="C439" s="5" t="inlineStr">
        <is>
          <t>Susan Wild</t>
        </is>
      </c>
      <c r="D439" s="5" t="inlineStr">
        <is>
          <t>DEM</t>
        </is>
      </c>
      <c r="E439" s="5" t="n"/>
      <c r="F439" s="5" t="n"/>
      <c r="G439" s="5" t="inlineStr">
        <is>
          <t>PAC contributions</t>
        </is>
      </c>
      <c r="H439" s="5" t="n"/>
      <c r="I439" s="5" t="n"/>
      <c r="J439" s="5" t="n"/>
      <c r="K439" s="33" t="n">
        <v>1027681.99</v>
      </c>
      <c r="L439" s="34" t="n"/>
      <c r="M439" s="5" t="inlineStr">
        <is>
          <t>2020-11-03</t>
        </is>
      </c>
    </row>
    <row r="440">
      <c r="A440" s="5" t="inlineStr">
        <is>
          <t>history_finance</t>
        </is>
      </c>
      <c r="B440" s="5" t="n">
        <v>2020</v>
      </c>
      <c r="C440" s="5" t="inlineStr">
        <is>
          <t>Susan Wild</t>
        </is>
      </c>
      <c r="D440" s="5" t="inlineStr">
        <is>
          <t>DEM</t>
        </is>
      </c>
      <c r="E440" s="5" t="n"/>
      <c r="F440" s="5" t="n"/>
      <c r="G440" s="5" t="inlineStr">
        <is>
          <t>Outside spending supporting</t>
        </is>
      </c>
      <c r="H440" s="5" t="n"/>
      <c r="I440" s="5" t="n"/>
      <c r="J440" s="5" t="n"/>
      <c r="K440" s="33" t="n">
        <v>50133.76</v>
      </c>
      <c r="L440" s="34" t="n"/>
      <c r="M440" s="5" t="inlineStr">
        <is>
          <t>2020-11-03</t>
        </is>
      </c>
    </row>
    <row r="441">
      <c r="A441" s="5" t="inlineStr">
        <is>
          <t>history_finance</t>
        </is>
      </c>
      <c r="B441" s="5" t="n">
        <v>2020</v>
      </c>
      <c r="C441" s="5" t="inlineStr">
        <is>
          <t>Susan Wild</t>
        </is>
      </c>
      <c r="D441" s="5" t="inlineStr">
        <is>
          <t>DEM</t>
        </is>
      </c>
      <c r="E441" s="5" t="n"/>
      <c r="F441" s="5" t="n"/>
      <c r="G441" s="5" t="inlineStr">
        <is>
          <t>Outside spending opposing</t>
        </is>
      </c>
      <c r="H441" s="5" t="n"/>
      <c r="I441" s="5" t="n"/>
      <c r="J441" s="5" t="n"/>
      <c r="K441" s="33" t="n">
        <v>127595.71</v>
      </c>
      <c r="L441" s="34" t="n"/>
      <c r="M441" s="5" t="inlineStr">
        <is>
          <t>2020-11-03</t>
        </is>
      </c>
    </row>
    <row r="442">
      <c r="A442" s="5" t="inlineStr">
        <is>
          <t>history_result</t>
        </is>
      </c>
      <c r="B442" s="5" t="n">
        <v>2020</v>
      </c>
      <c r="C442" s="5" t="inlineStr">
        <is>
          <t>Susan Wild</t>
        </is>
      </c>
      <c r="D442" s="5" t="inlineStr">
        <is>
          <t>DEM</t>
        </is>
      </c>
      <c r="E442" s="5" t="n"/>
      <c r="F442" s="5" t="n"/>
      <c r="G442" s="5" t="inlineStr">
        <is>
          <t>General election votes</t>
        </is>
      </c>
      <c r="H442" s="5" t="inlineStr">
        <is>
          <t>won</t>
        </is>
      </c>
      <c r="I442" s="5" t="n"/>
      <c r="J442" s="5" t="n"/>
      <c r="K442" s="33" t="n"/>
      <c r="L442" s="34" t="n">
        <v>195475</v>
      </c>
      <c r="M442" s="5" t="inlineStr">
        <is>
          <t>2020-11-03</t>
        </is>
      </c>
    </row>
    <row r="443">
      <c r="A443" s="5" t="inlineStr">
        <is>
          <t>history_finance</t>
        </is>
      </c>
      <c r="B443" s="5" t="n">
        <v>2020</v>
      </c>
      <c r="C443" s="5" t="inlineStr">
        <is>
          <t>Lisa Scheller</t>
        </is>
      </c>
      <c r="D443" s="5" t="inlineStr">
        <is>
          <t>REP</t>
        </is>
      </c>
      <c r="E443" s="5" t="n"/>
      <c r="F443" s="5" t="n"/>
      <c r="G443" s="5" t="inlineStr">
        <is>
          <t>Receipts</t>
        </is>
      </c>
      <c r="H443" s="5" t="n"/>
      <c r="I443" s="5" t="n"/>
      <c r="J443" s="5" t="n"/>
      <c r="K443" s="33" t="n">
        <v>3740779.05</v>
      </c>
      <c r="L443" s="34" t="n"/>
      <c r="M443" s="5" t="inlineStr">
        <is>
          <t>2020-11-03</t>
        </is>
      </c>
    </row>
    <row r="444">
      <c r="A444" s="5" t="inlineStr">
        <is>
          <t>history_finance</t>
        </is>
      </c>
      <c r="B444" s="5" t="n">
        <v>2020</v>
      </c>
      <c r="C444" s="5" t="inlineStr">
        <is>
          <t>Lisa Scheller</t>
        </is>
      </c>
      <c r="D444" s="5" t="inlineStr">
        <is>
          <t>REP</t>
        </is>
      </c>
      <c r="E444" s="5" t="n"/>
      <c r="F444" s="5" t="n"/>
      <c r="G444" s="5" t="inlineStr">
        <is>
          <t>Disbursements</t>
        </is>
      </c>
      <c r="H444" s="5" t="n"/>
      <c r="I444" s="5" t="n"/>
      <c r="J444" s="5" t="n"/>
      <c r="K444" s="33" t="n">
        <v>3661738.3</v>
      </c>
      <c r="L444" s="34" t="n"/>
      <c r="M444" s="5" t="inlineStr">
        <is>
          <t>2020-11-03</t>
        </is>
      </c>
    </row>
    <row r="445">
      <c r="A445" s="5" t="inlineStr">
        <is>
          <t>history_finance</t>
        </is>
      </c>
      <c r="B445" s="5" t="n">
        <v>2020</v>
      </c>
      <c r="C445" s="5" t="inlineStr">
        <is>
          <t>Lisa Scheller</t>
        </is>
      </c>
      <c r="D445" s="5" t="inlineStr">
        <is>
          <t>REP</t>
        </is>
      </c>
      <c r="E445" s="5" t="n"/>
      <c r="F445" s="5" t="n"/>
      <c r="G445" s="5" t="inlineStr">
        <is>
          <t>Cash on hand at year end</t>
        </is>
      </c>
      <c r="H445" s="5" t="n"/>
      <c r="I445" s="5" t="n"/>
      <c r="J445" s="5" t="n"/>
      <c r="K445" s="33" t="n">
        <v>79040.75</v>
      </c>
      <c r="L445" s="34" t="n"/>
      <c r="M445" s="5" t="inlineStr">
        <is>
          <t>2020-11-03</t>
        </is>
      </c>
    </row>
    <row r="446">
      <c r="A446" s="5" t="inlineStr">
        <is>
          <t>history_finance</t>
        </is>
      </c>
      <c r="B446" s="5" t="n">
        <v>2020</v>
      </c>
      <c r="C446" s="5" t="inlineStr">
        <is>
          <t>Lisa Scheller</t>
        </is>
      </c>
      <c r="D446" s="5" t="inlineStr">
        <is>
          <t>REP</t>
        </is>
      </c>
      <c r="E446" s="5" t="n"/>
      <c r="F446" s="5" t="n"/>
      <c r="G446" s="5" t="inlineStr">
        <is>
          <t>Individual contributions</t>
        </is>
      </c>
      <c r="H446" s="5" t="n"/>
      <c r="I446" s="5" t="n"/>
      <c r="J446" s="5" t="n"/>
      <c r="K446" s="33" t="n">
        <v>998798.1899999999</v>
      </c>
      <c r="L446" s="34" t="n"/>
      <c r="M446" s="5" t="inlineStr">
        <is>
          <t>2020-11-03</t>
        </is>
      </c>
    </row>
    <row r="447">
      <c r="A447" s="5" t="inlineStr">
        <is>
          <t>history_finance</t>
        </is>
      </c>
      <c r="B447" s="5" t="n">
        <v>2020</v>
      </c>
      <c r="C447" s="5" t="inlineStr">
        <is>
          <t>Lisa Scheller</t>
        </is>
      </c>
      <c r="D447" s="5" t="inlineStr">
        <is>
          <t>REP</t>
        </is>
      </c>
      <c r="E447" s="5" t="n"/>
      <c r="F447" s="5" t="n"/>
      <c r="G447" s="5" t="inlineStr">
        <is>
          <t>PAC contributions</t>
        </is>
      </c>
      <c r="H447" s="5" t="n"/>
      <c r="I447" s="5" t="n"/>
      <c r="J447" s="5" t="n"/>
      <c r="K447" s="33" t="n">
        <v>231174.7</v>
      </c>
      <c r="L447" s="34" t="n"/>
      <c r="M447" s="5" t="inlineStr">
        <is>
          <t>2020-11-03</t>
        </is>
      </c>
    </row>
    <row r="448">
      <c r="A448" s="5" t="inlineStr">
        <is>
          <t>history_finance</t>
        </is>
      </c>
      <c r="B448" s="5" t="n">
        <v>2020</v>
      </c>
      <c r="C448" s="5" t="inlineStr">
        <is>
          <t>Lisa Scheller</t>
        </is>
      </c>
      <c r="D448" s="5" t="inlineStr">
        <is>
          <t>REP</t>
        </is>
      </c>
      <c r="E448" s="5" t="n"/>
      <c r="F448" s="5" t="n"/>
      <c r="G448" s="5" t="inlineStr">
        <is>
          <t>Outside spending supporting</t>
        </is>
      </c>
      <c r="H448" s="5" t="n"/>
      <c r="I448" s="5" t="n"/>
      <c r="J448" s="5" t="n"/>
      <c r="K448" s="33" t="n">
        <v>600145.5600000001</v>
      </c>
      <c r="L448" s="34" t="n"/>
      <c r="M448" s="5" t="inlineStr">
        <is>
          <t>2020-11-03</t>
        </is>
      </c>
    </row>
    <row r="449">
      <c r="A449" s="5" t="inlineStr">
        <is>
          <t>history_finance</t>
        </is>
      </c>
      <c r="B449" s="5" t="n">
        <v>2020</v>
      </c>
      <c r="C449" s="5" t="inlineStr">
        <is>
          <t>Lisa Scheller</t>
        </is>
      </c>
      <c r="D449" s="5" t="inlineStr">
        <is>
          <t>REP</t>
        </is>
      </c>
      <c r="E449" s="5" t="n"/>
      <c r="F449" s="5" t="n"/>
      <c r="G449" s="5" t="inlineStr">
        <is>
          <t>Outside spending opposing</t>
        </is>
      </c>
      <c r="H449" s="5" t="n"/>
      <c r="I449" s="5" t="n"/>
      <c r="J449" s="5" t="n"/>
      <c r="K449" s="33" t="n">
        <v>1165.62</v>
      </c>
      <c r="L449" s="34" t="n"/>
      <c r="M449" s="5" t="inlineStr">
        <is>
          <t>2020-11-03</t>
        </is>
      </c>
    </row>
    <row r="450">
      <c r="A450" s="5" t="inlineStr">
        <is>
          <t>history_result</t>
        </is>
      </c>
      <c r="B450" s="5" t="n">
        <v>2020</v>
      </c>
      <c r="C450" s="5" t="inlineStr">
        <is>
          <t>Lisa Scheller</t>
        </is>
      </c>
      <c r="D450" s="5" t="inlineStr">
        <is>
          <t>REP</t>
        </is>
      </c>
      <c r="E450" s="5" t="n"/>
      <c r="F450" s="5" t="n"/>
      <c r="G450" s="5" t="inlineStr">
        <is>
          <t>General election votes</t>
        </is>
      </c>
      <c r="H450" s="5" t="inlineStr">
        <is>
          <t>lost</t>
        </is>
      </c>
      <c r="I450" s="5" t="n"/>
      <c r="J450" s="5" t="n"/>
      <c r="K450" s="33" t="n"/>
      <c r="L450" s="34" t="n">
        <v>181407</v>
      </c>
      <c r="M450" s="5" t="inlineStr">
        <is>
          <t>2020-11-03</t>
        </is>
      </c>
    </row>
    <row r="451">
      <c r="A451" s="5" t="inlineStr">
        <is>
          <t>history_finance</t>
        </is>
      </c>
      <c r="B451" s="5" t="n">
        <v>2022</v>
      </c>
      <c r="C451" s="5" t="inlineStr">
        <is>
          <t>Susan Wild</t>
        </is>
      </c>
      <c r="D451" s="5" t="inlineStr">
        <is>
          <t>DEM</t>
        </is>
      </c>
      <c r="E451" s="5" t="n"/>
      <c r="F451" s="5" t="n"/>
      <c r="G451" s="5" t="inlineStr">
        <is>
          <t>Receipts</t>
        </is>
      </c>
      <c r="H451" s="5" t="n"/>
      <c r="I451" s="5" t="n"/>
      <c r="J451" s="5" t="n"/>
      <c r="K451" s="33" t="n">
        <v>7002291.19</v>
      </c>
      <c r="L451" s="34" t="n"/>
      <c r="M451" s="5" t="inlineStr">
        <is>
          <t>2022-11-08</t>
        </is>
      </c>
    </row>
    <row r="452">
      <c r="A452" s="5" t="inlineStr">
        <is>
          <t>history_finance</t>
        </is>
      </c>
      <c r="B452" s="5" t="n">
        <v>2022</v>
      </c>
      <c r="C452" s="5" t="inlineStr">
        <is>
          <t>Susan Wild</t>
        </is>
      </c>
      <c r="D452" s="5" t="inlineStr">
        <is>
          <t>DEM</t>
        </is>
      </c>
      <c r="E452" s="5" t="n"/>
      <c r="F452" s="5" t="n"/>
      <c r="G452" s="5" t="inlineStr">
        <is>
          <t>Disbursements</t>
        </is>
      </c>
      <c r="H452" s="5" t="n"/>
      <c r="I452" s="5" t="n"/>
      <c r="J452" s="5" t="n"/>
      <c r="K452" s="33" t="n">
        <v>7027026.2</v>
      </c>
      <c r="L452" s="34" t="n"/>
      <c r="M452" s="5" t="inlineStr">
        <is>
          <t>2022-11-08</t>
        </is>
      </c>
    </row>
    <row r="453">
      <c r="A453" s="5" t="inlineStr">
        <is>
          <t>history_finance</t>
        </is>
      </c>
      <c r="B453" s="5" t="n">
        <v>2022</v>
      </c>
      <c r="C453" s="5" t="inlineStr">
        <is>
          <t>Susan Wild</t>
        </is>
      </c>
      <c r="D453" s="5" t="inlineStr">
        <is>
          <t>DEM</t>
        </is>
      </c>
      <c r="E453" s="5" t="n"/>
      <c r="F453" s="5" t="n"/>
      <c r="G453" s="5" t="inlineStr">
        <is>
          <t>Cash on hand at year end</t>
        </is>
      </c>
      <c r="H453" s="5" t="n"/>
      <c r="I453" s="5" t="n"/>
      <c r="J453" s="5" t="n"/>
      <c r="K453" s="33" t="n">
        <v>53961.35</v>
      </c>
      <c r="L453" s="34" t="n"/>
      <c r="M453" s="5" t="inlineStr">
        <is>
          <t>2022-11-08</t>
        </is>
      </c>
    </row>
    <row r="454">
      <c r="A454" s="5" t="inlineStr">
        <is>
          <t>history_finance</t>
        </is>
      </c>
      <c r="B454" s="5" t="n">
        <v>2022</v>
      </c>
      <c r="C454" s="5" t="inlineStr">
        <is>
          <t>Susan Wild</t>
        </is>
      </c>
      <c r="D454" s="5" t="inlineStr">
        <is>
          <t>DEM</t>
        </is>
      </c>
      <c r="E454" s="5" t="n"/>
      <c r="F454" s="5" t="n"/>
      <c r="G454" s="5" t="inlineStr">
        <is>
          <t>Individual contributions</t>
        </is>
      </c>
      <c r="H454" s="5" t="n"/>
      <c r="I454" s="5" t="n"/>
      <c r="J454" s="5" t="n"/>
      <c r="K454" s="33" t="n">
        <v>5366116.25</v>
      </c>
      <c r="L454" s="34" t="n"/>
      <c r="M454" s="5" t="inlineStr">
        <is>
          <t>2022-11-08</t>
        </is>
      </c>
    </row>
    <row r="455">
      <c r="A455" s="5" t="inlineStr">
        <is>
          <t>history_finance</t>
        </is>
      </c>
      <c r="B455" s="5" t="n">
        <v>2022</v>
      </c>
      <c r="C455" s="5" t="inlineStr">
        <is>
          <t>Susan Wild</t>
        </is>
      </c>
      <c r="D455" s="5" t="inlineStr">
        <is>
          <t>DEM</t>
        </is>
      </c>
      <c r="E455" s="5" t="n"/>
      <c r="F455" s="5" t="n"/>
      <c r="G455" s="5" t="inlineStr">
        <is>
          <t>PAC contributions</t>
        </is>
      </c>
      <c r="H455" s="5" t="n"/>
      <c r="I455" s="5" t="n"/>
      <c r="J455" s="5" t="n"/>
      <c r="K455" s="33" t="n">
        <v>1279735.82</v>
      </c>
      <c r="L455" s="34" t="n"/>
      <c r="M455" s="5" t="inlineStr">
        <is>
          <t>2022-11-08</t>
        </is>
      </c>
    </row>
    <row r="456">
      <c r="A456" s="5" t="inlineStr">
        <is>
          <t>history_finance</t>
        </is>
      </c>
      <c r="B456" s="5" t="n">
        <v>2022</v>
      </c>
      <c r="C456" s="5" t="inlineStr">
        <is>
          <t>Susan Wild</t>
        </is>
      </c>
      <c r="D456" s="5" t="inlineStr">
        <is>
          <t>DEM</t>
        </is>
      </c>
      <c r="E456" s="5" t="n"/>
      <c r="F456" s="5" t="n"/>
      <c r="G456" s="5" t="inlineStr">
        <is>
          <t>Outside spending supporting</t>
        </is>
      </c>
      <c r="H456" s="5" t="n"/>
      <c r="I456" s="5" t="n"/>
      <c r="J456" s="5" t="n"/>
      <c r="K456" s="33" t="n">
        <v>654900.95</v>
      </c>
      <c r="L456" s="34" t="n"/>
      <c r="M456" s="5" t="inlineStr">
        <is>
          <t>2022-11-08</t>
        </is>
      </c>
    </row>
    <row r="457">
      <c r="A457" s="5" t="inlineStr">
        <is>
          <t>history_finance</t>
        </is>
      </c>
      <c r="B457" s="5" t="n">
        <v>2022</v>
      </c>
      <c r="C457" s="5" t="inlineStr">
        <is>
          <t>Susan Wild</t>
        </is>
      </c>
      <c r="D457" s="5" t="inlineStr">
        <is>
          <t>DEM</t>
        </is>
      </c>
      <c r="E457" s="5" t="n"/>
      <c r="F457" s="5" t="n"/>
      <c r="G457" s="5" t="inlineStr">
        <is>
          <t>Outside spending opposing</t>
        </is>
      </c>
      <c r="H457" s="5" t="n"/>
      <c r="I457" s="5" t="n"/>
      <c r="J457" s="5" t="n"/>
      <c r="K457" s="33" t="n">
        <v>10853652.49</v>
      </c>
      <c r="L457" s="34" t="n"/>
      <c r="M457" s="5" t="inlineStr">
        <is>
          <t>2022-11-08</t>
        </is>
      </c>
    </row>
    <row r="458">
      <c r="A458" s="5" t="inlineStr">
        <is>
          <t>history_result</t>
        </is>
      </c>
      <c r="B458" s="5" t="n">
        <v>2022</v>
      </c>
      <c r="C458" s="5" t="inlineStr">
        <is>
          <t>Susan Wild</t>
        </is>
      </c>
      <c r="D458" s="5" t="inlineStr">
        <is>
          <t>DEM</t>
        </is>
      </c>
      <c r="E458" s="5" t="n"/>
      <c r="F458" s="5" t="n"/>
      <c r="G458" s="5" t="inlineStr">
        <is>
          <t>General election votes</t>
        </is>
      </c>
      <c r="H458" s="5" t="inlineStr">
        <is>
          <t>won</t>
        </is>
      </c>
      <c r="I458" s="5" t="n"/>
      <c r="J458" s="5" t="n"/>
      <c r="K458" s="33" t="n"/>
      <c r="L458" s="34" t="n">
        <v>151364</v>
      </c>
      <c r="M458" s="5" t="inlineStr">
        <is>
          <t>2022-11-08</t>
        </is>
      </c>
    </row>
    <row r="459">
      <c r="A459" s="5" t="inlineStr">
        <is>
          <t>history_finance</t>
        </is>
      </c>
      <c r="B459" s="5" t="n">
        <v>2022</v>
      </c>
      <c r="C459" s="5" t="inlineStr">
        <is>
          <t>Lisa Scheller</t>
        </is>
      </c>
      <c r="D459" s="5" t="inlineStr">
        <is>
          <t>REP</t>
        </is>
      </c>
      <c r="E459" s="5" t="n"/>
      <c r="F459" s="5" t="n"/>
      <c r="G459" s="5" t="inlineStr">
        <is>
          <t>Receipts</t>
        </is>
      </c>
      <c r="H459" s="5" t="n"/>
      <c r="I459" s="5" t="n"/>
      <c r="J459" s="5" t="n"/>
      <c r="K459" s="33" t="n">
        <v>6354578.69</v>
      </c>
      <c r="L459" s="34" t="n"/>
      <c r="M459" s="5" t="inlineStr">
        <is>
          <t>2022-11-08</t>
        </is>
      </c>
    </row>
    <row r="460">
      <c r="A460" s="5" t="inlineStr">
        <is>
          <t>history_finance</t>
        </is>
      </c>
      <c r="B460" s="5" t="n">
        <v>2022</v>
      </c>
      <c r="C460" s="5" t="inlineStr">
        <is>
          <t>Lisa Scheller</t>
        </is>
      </c>
      <c r="D460" s="5" t="inlineStr">
        <is>
          <t>REP</t>
        </is>
      </c>
      <c r="E460" s="5" t="n"/>
      <c r="F460" s="5" t="n"/>
      <c r="G460" s="5" t="inlineStr">
        <is>
          <t>Disbursements</t>
        </is>
      </c>
      <c r="H460" s="5" t="n"/>
      <c r="I460" s="5" t="n"/>
      <c r="J460" s="5" t="n"/>
      <c r="K460" s="33" t="n">
        <v>6432421.56</v>
      </c>
      <c r="L460" s="34" t="n"/>
      <c r="M460" s="5" t="inlineStr">
        <is>
          <t>2022-11-08</t>
        </is>
      </c>
    </row>
    <row r="461">
      <c r="A461" s="5" t="inlineStr">
        <is>
          <t>history_finance</t>
        </is>
      </c>
      <c r="B461" s="5" t="n">
        <v>2022</v>
      </c>
      <c r="C461" s="5" t="inlineStr">
        <is>
          <t>Lisa Scheller</t>
        </is>
      </c>
      <c r="D461" s="5" t="inlineStr">
        <is>
          <t>REP</t>
        </is>
      </c>
      <c r="E461" s="5" t="n"/>
      <c r="F461" s="5" t="n"/>
      <c r="G461" s="5" t="inlineStr">
        <is>
          <t>Cash on hand at year end</t>
        </is>
      </c>
      <c r="H461" s="5" t="n"/>
      <c r="I461" s="5" t="n"/>
      <c r="J461" s="5" t="n"/>
      <c r="K461" s="33" t="n">
        <v>2737.49</v>
      </c>
      <c r="L461" s="34" t="n"/>
      <c r="M461" s="5" t="inlineStr">
        <is>
          <t>2022-11-08</t>
        </is>
      </c>
    </row>
    <row r="462">
      <c r="A462" s="5" t="inlineStr">
        <is>
          <t>history_finance</t>
        </is>
      </c>
      <c r="B462" s="5" t="n">
        <v>2022</v>
      </c>
      <c r="C462" s="5" t="inlineStr">
        <is>
          <t>Lisa Scheller</t>
        </is>
      </c>
      <c r="D462" s="5" t="inlineStr">
        <is>
          <t>REP</t>
        </is>
      </c>
      <c r="E462" s="5" t="n"/>
      <c r="F462" s="5" t="n"/>
      <c r="G462" s="5" t="inlineStr">
        <is>
          <t>Individual contributions</t>
        </is>
      </c>
      <c r="H462" s="5" t="n"/>
      <c r="I462" s="5" t="n"/>
      <c r="J462" s="5" t="n"/>
      <c r="K462" s="33" t="n">
        <v>2381481.34</v>
      </c>
      <c r="L462" s="34" t="n"/>
      <c r="M462" s="5" t="inlineStr">
        <is>
          <t>2022-11-08</t>
        </is>
      </c>
    </row>
    <row r="463">
      <c r="A463" s="5" t="inlineStr">
        <is>
          <t>history_finance</t>
        </is>
      </c>
      <c r="B463" s="5" t="n">
        <v>2022</v>
      </c>
      <c r="C463" s="5" t="inlineStr">
        <is>
          <t>Lisa Scheller</t>
        </is>
      </c>
      <c r="D463" s="5" t="inlineStr">
        <is>
          <t>REP</t>
        </is>
      </c>
      <c r="E463" s="5" t="n"/>
      <c r="F463" s="5" t="n"/>
      <c r="G463" s="5" t="inlineStr">
        <is>
          <t>PAC contributions</t>
        </is>
      </c>
      <c r="H463" s="5" t="n"/>
      <c r="I463" s="5" t="n"/>
      <c r="J463" s="5" t="n"/>
      <c r="K463" s="33" t="n">
        <v>514762</v>
      </c>
      <c r="L463" s="34" t="n"/>
      <c r="M463" s="5" t="inlineStr">
        <is>
          <t>2022-11-08</t>
        </is>
      </c>
    </row>
    <row r="464">
      <c r="A464" s="5" t="inlineStr">
        <is>
          <t>history_finance</t>
        </is>
      </c>
      <c r="B464" s="5" t="n">
        <v>2022</v>
      </c>
      <c r="C464" s="5" t="inlineStr">
        <is>
          <t>Lisa Scheller</t>
        </is>
      </c>
      <c r="D464" s="5" t="inlineStr">
        <is>
          <t>REP</t>
        </is>
      </c>
      <c r="E464" s="5" t="n"/>
      <c r="F464" s="5" t="n"/>
      <c r="G464" s="5" t="inlineStr">
        <is>
          <t>Outside spending supporting</t>
        </is>
      </c>
      <c r="H464" s="5" t="n"/>
      <c r="I464" s="5" t="n"/>
      <c r="J464" s="5" t="n"/>
      <c r="K464" s="33" t="n">
        <v>23268.88</v>
      </c>
      <c r="L464" s="34" t="n"/>
      <c r="M464" s="5" t="inlineStr">
        <is>
          <t>2022-11-08</t>
        </is>
      </c>
    </row>
    <row r="465">
      <c r="A465" s="5" t="inlineStr">
        <is>
          <t>history_finance</t>
        </is>
      </c>
      <c r="B465" s="5" t="n">
        <v>2022</v>
      </c>
      <c r="C465" s="5" t="inlineStr">
        <is>
          <t>Lisa Scheller</t>
        </is>
      </c>
      <c r="D465" s="5" t="inlineStr">
        <is>
          <t>REP</t>
        </is>
      </c>
      <c r="E465" s="5" t="n"/>
      <c r="F465" s="5" t="n"/>
      <c r="G465" s="5" t="inlineStr">
        <is>
          <t>Outside spending opposing</t>
        </is>
      </c>
      <c r="H465" s="5" t="n"/>
      <c r="I465" s="5" t="n"/>
      <c r="J465" s="5" t="n"/>
      <c r="K465" s="33" t="n">
        <v>8764085.75</v>
      </c>
      <c r="L465" s="34" t="n"/>
      <c r="M465" s="5" t="inlineStr">
        <is>
          <t>2022-11-08</t>
        </is>
      </c>
    </row>
    <row r="466">
      <c r="A466" s="5" t="inlineStr">
        <is>
          <t>history_result</t>
        </is>
      </c>
      <c r="B466" s="5" t="n">
        <v>2022</v>
      </c>
      <c r="C466" s="5" t="inlineStr">
        <is>
          <t>Lisa Scheller</t>
        </is>
      </c>
      <c r="D466" s="5" t="inlineStr">
        <is>
          <t>REP</t>
        </is>
      </c>
      <c r="E466" s="5" t="n"/>
      <c r="F466" s="5" t="n"/>
      <c r="G466" s="5" t="inlineStr">
        <is>
          <t>General election votes</t>
        </is>
      </c>
      <c r="H466" s="5" t="inlineStr">
        <is>
          <t>lost</t>
        </is>
      </c>
      <c r="I466" s="5" t="n"/>
      <c r="J466" s="5" t="n"/>
      <c r="K466" s="33" t="n"/>
      <c r="L466" s="34" t="n">
        <v>145527</v>
      </c>
      <c r="M466" s="5" t="inlineStr">
        <is>
          <t>2022-11-08</t>
        </is>
      </c>
    </row>
    <row r="467">
      <c r="A467" s="5" t="inlineStr">
        <is>
          <t>history_finance</t>
        </is>
      </c>
      <c r="B467" s="5" t="n">
        <v>2024</v>
      </c>
      <c r="C467" s="5" t="inlineStr">
        <is>
          <t>Susan Wild</t>
        </is>
      </c>
      <c r="D467" s="5" t="inlineStr">
        <is>
          <t>DEM</t>
        </is>
      </c>
      <c r="E467" s="5" t="n"/>
      <c r="F467" s="5" t="n"/>
      <c r="G467" s="5" t="inlineStr">
        <is>
          <t>Receipts</t>
        </is>
      </c>
      <c r="H467" s="5" t="n"/>
      <c r="I467" s="5" t="n"/>
      <c r="J467" s="5" t="n"/>
      <c r="K467" s="33" t="n">
        <v>8960927.65</v>
      </c>
      <c r="L467" s="34" t="n"/>
      <c r="M467" s="5" t="inlineStr">
        <is>
          <t>2024-11-05</t>
        </is>
      </c>
    </row>
    <row r="468">
      <c r="A468" s="5" t="inlineStr">
        <is>
          <t>history_finance</t>
        </is>
      </c>
      <c r="B468" s="5" t="n">
        <v>2024</v>
      </c>
      <c r="C468" s="5" t="inlineStr">
        <is>
          <t>Susan Wild</t>
        </is>
      </c>
      <c r="D468" s="5" t="inlineStr">
        <is>
          <t>DEM</t>
        </is>
      </c>
      <c r="E468" s="5" t="n"/>
      <c r="F468" s="5" t="n"/>
      <c r="G468" s="5" t="inlineStr">
        <is>
          <t>Disbursements</t>
        </is>
      </c>
      <c r="H468" s="5" t="n"/>
      <c r="I468" s="5" t="n"/>
      <c r="J468" s="5" t="n"/>
      <c r="K468" s="33" t="n">
        <v>8946230</v>
      </c>
      <c r="L468" s="34" t="n"/>
      <c r="M468" s="5" t="inlineStr">
        <is>
          <t>2024-11-05</t>
        </is>
      </c>
    </row>
    <row r="469">
      <c r="A469" s="5" t="inlineStr">
        <is>
          <t>history_finance</t>
        </is>
      </c>
      <c r="B469" s="5" t="n">
        <v>2024</v>
      </c>
      <c r="C469" s="5" t="inlineStr">
        <is>
          <t>Susan Wild</t>
        </is>
      </c>
      <c r="D469" s="5" t="inlineStr">
        <is>
          <t>DEM</t>
        </is>
      </c>
      <c r="E469" s="5" t="n"/>
      <c r="F469" s="5" t="n"/>
      <c r="G469" s="5" t="inlineStr">
        <is>
          <t>Cash on hand at year end</t>
        </is>
      </c>
      <c r="H469" s="5" t="n"/>
      <c r="I469" s="5" t="n"/>
      <c r="J469" s="5" t="n"/>
      <c r="K469" s="33" t="n">
        <v>68659</v>
      </c>
      <c r="L469" s="34" t="n"/>
      <c r="M469" s="5" t="inlineStr">
        <is>
          <t>2024-11-05</t>
        </is>
      </c>
    </row>
    <row r="470">
      <c r="A470" s="5" t="inlineStr">
        <is>
          <t>history_finance</t>
        </is>
      </c>
      <c r="B470" s="5" t="n">
        <v>2024</v>
      </c>
      <c r="C470" s="5" t="inlineStr">
        <is>
          <t>Susan Wild</t>
        </is>
      </c>
      <c r="D470" s="5" t="inlineStr">
        <is>
          <t>DEM</t>
        </is>
      </c>
      <c r="E470" s="5" t="n"/>
      <c r="F470" s="5" t="n"/>
      <c r="G470" s="5" t="inlineStr">
        <is>
          <t>Individual contributions</t>
        </is>
      </c>
      <c r="H470" s="5" t="n"/>
      <c r="I470" s="5" t="n"/>
      <c r="J470" s="5" t="n"/>
      <c r="K470" s="33" t="n">
        <v>6604896.42</v>
      </c>
      <c r="L470" s="34" t="n"/>
      <c r="M470" s="5" t="inlineStr">
        <is>
          <t>2024-11-05</t>
        </is>
      </c>
    </row>
    <row r="471">
      <c r="A471" s="5" t="inlineStr">
        <is>
          <t>history_finance</t>
        </is>
      </c>
      <c r="B471" s="5" t="n">
        <v>2024</v>
      </c>
      <c r="C471" s="5" t="inlineStr">
        <is>
          <t>Susan Wild</t>
        </is>
      </c>
      <c r="D471" s="5" t="inlineStr">
        <is>
          <t>DEM</t>
        </is>
      </c>
      <c r="E471" s="5" t="n"/>
      <c r="F471" s="5" t="n"/>
      <c r="G471" s="5" t="inlineStr">
        <is>
          <t>PAC contributions</t>
        </is>
      </c>
      <c r="H471" s="5" t="n"/>
      <c r="I471" s="5" t="n"/>
      <c r="J471" s="5" t="n"/>
      <c r="K471" s="33" t="n">
        <v>1393265.46</v>
      </c>
      <c r="L471" s="34" t="n"/>
      <c r="M471" s="5" t="inlineStr">
        <is>
          <t>2024-11-05</t>
        </is>
      </c>
    </row>
    <row r="472">
      <c r="A472" s="5" t="inlineStr">
        <is>
          <t>history_finance</t>
        </is>
      </c>
      <c r="B472" s="5" t="n">
        <v>2024</v>
      </c>
      <c r="C472" s="5" t="inlineStr">
        <is>
          <t>Susan Wild</t>
        </is>
      </c>
      <c r="D472" s="5" t="inlineStr">
        <is>
          <t>DEM</t>
        </is>
      </c>
      <c r="E472" s="5" t="n"/>
      <c r="F472" s="5" t="n"/>
      <c r="G472" s="5" t="inlineStr">
        <is>
          <t>Outside spending supporting</t>
        </is>
      </c>
      <c r="H472" s="5" t="n"/>
      <c r="I472" s="5" t="n"/>
      <c r="J472" s="5" t="n"/>
      <c r="K472" s="33" t="n">
        <v>4568368.78</v>
      </c>
      <c r="L472" s="34" t="n"/>
      <c r="M472" s="5" t="inlineStr">
        <is>
          <t>2024-11-05</t>
        </is>
      </c>
    </row>
    <row r="473">
      <c r="A473" s="5" t="inlineStr">
        <is>
          <t>history_finance</t>
        </is>
      </c>
      <c r="B473" s="5" t="n">
        <v>2024</v>
      </c>
      <c r="C473" s="5" t="inlineStr">
        <is>
          <t>Susan Wild</t>
        </is>
      </c>
      <c r="D473" s="5" t="inlineStr">
        <is>
          <t>DEM</t>
        </is>
      </c>
      <c r="E473" s="5" t="n"/>
      <c r="F473" s="5" t="n"/>
      <c r="G473" s="5" t="inlineStr">
        <is>
          <t>Outside spending opposing</t>
        </is>
      </c>
      <c r="H473" s="5" t="n"/>
      <c r="I473" s="5" t="n"/>
      <c r="J473" s="5" t="n"/>
      <c r="K473" s="33" t="n">
        <v>10424863.22</v>
      </c>
      <c r="L473" s="34" t="n"/>
      <c r="M473" s="5" t="inlineStr">
        <is>
          <t>2024-11-05</t>
        </is>
      </c>
    </row>
    <row r="474">
      <c r="A474" s="5" t="inlineStr">
        <is>
          <t>history_result</t>
        </is>
      </c>
      <c r="B474" s="5" t="n">
        <v>2024</v>
      </c>
      <c r="C474" s="5" t="inlineStr">
        <is>
          <t>Susan Wild</t>
        </is>
      </c>
      <c r="D474" s="5" t="inlineStr">
        <is>
          <t>DEM</t>
        </is>
      </c>
      <c r="E474" s="5" t="n"/>
      <c r="F474" s="5" t="n"/>
      <c r="G474" s="5" t="inlineStr">
        <is>
          <t>General election votes</t>
        </is>
      </c>
      <c r="H474" s="5" t="inlineStr">
        <is>
          <t>lost</t>
        </is>
      </c>
      <c r="I474" s="5" t="n"/>
      <c r="J474" s="5" t="n"/>
      <c r="K474" s="33" t="n"/>
      <c r="L474" s="34" t="n">
        <v>199626</v>
      </c>
      <c r="M474" s="5" t="inlineStr">
        <is>
          <t>2024-11-05</t>
        </is>
      </c>
    </row>
    <row r="475">
      <c r="A475" s="5" t="inlineStr">
        <is>
          <t>history_finance</t>
        </is>
      </c>
      <c r="B475" s="5" t="n">
        <v>2024</v>
      </c>
      <c r="C475" s="5" t="inlineStr">
        <is>
          <t>Ryan Mackenzie</t>
        </is>
      </c>
      <c r="D475" s="5" t="inlineStr">
        <is>
          <t>REP</t>
        </is>
      </c>
      <c r="E475" s="5" t="n"/>
      <c r="F475" s="5" t="n"/>
      <c r="G475" s="5" t="inlineStr">
        <is>
          <t>Receipts</t>
        </is>
      </c>
      <c r="H475" s="5" t="n"/>
      <c r="I475" s="5" t="n"/>
      <c r="J475" s="5" t="n"/>
      <c r="K475" s="33" t="n">
        <v>1818407.11</v>
      </c>
      <c r="L475" s="34" t="n"/>
      <c r="M475" s="5" t="inlineStr">
        <is>
          <t>2024-11-05</t>
        </is>
      </c>
    </row>
    <row r="476">
      <c r="A476" s="5" t="inlineStr">
        <is>
          <t>history_finance</t>
        </is>
      </c>
      <c r="B476" s="5" t="n">
        <v>2024</v>
      </c>
      <c r="C476" s="5" t="inlineStr">
        <is>
          <t>Ryan Mackenzie</t>
        </is>
      </c>
      <c r="D476" s="5" t="inlineStr">
        <is>
          <t>REP</t>
        </is>
      </c>
      <c r="E476" s="5" t="n"/>
      <c r="F476" s="5" t="n"/>
      <c r="G476" s="5" t="inlineStr">
        <is>
          <t>Disbursements</t>
        </is>
      </c>
      <c r="H476" s="5" t="n"/>
      <c r="I476" s="5" t="n"/>
      <c r="J476" s="5" t="n"/>
      <c r="K476" s="33" t="n">
        <v>1715167.2</v>
      </c>
      <c r="L476" s="34" t="n"/>
      <c r="M476" s="5" t="inlineStr">
        <is>
          <t>2024-11-05</t>
        </is>
      </c>
    </row>
    <row r="477">
      <c r="A477" s="5" t="inlineStr">
        <is>
          <t>history_finance</t>
        </is>
      </c>
      <c r="B477" s="5" t="n">
        <v>2024</v>
      </c>
      <c r="C477" s="5" t="inlineStr">
        <is>
          <t>Ryan Mackenzie</t>
        </is>
      </c>
      <c r="D477" s="5" t="inlineStr">
        <is>
          <t>REP</t>
        </is>
      </c>
      <c r="E477" s="5" t="n"/>
      <c r="F477" s="5" t="n"/>
      <c r="G477" s="5" t="inlineStr">
        <is>
          <t>Cash on hand at year end</t>
        </is>
      </c>
      <c r="H477" s="5" t="n"/>
      <c r="I477" s="5" t="n"/>
      <c r="J477" s="5" t="n"/>
      <c r="K477" s="33" t="n">
        <v>103239.91</v>
      </c>
      <c r="L477" s="34" t="n"/>
      <c r="M477" s="5" t="inlineStr">
        <is>
          <t>2024-11-05</t>
        </is>
      </c>
    </row>
    <row r="478">
      <c r="A478" s="5" t="inlineStr">
        <is>
          <t>history_finance</t>
        </is>
      </c>
      <c r="B478" s="5" t="n">
        <v>2024</v>
      </c>
      <c r="C478" s="5" t="inlineStr">
        <is>
          <t>Ryan Mackenzie</t>
        </is>
      </c>
      <c r="D478" s="5" t="inlineStr">
        <is>
          <t>REP</t>
        </is>
      </c>
      <c r="E478" s="5" t="n"/>
      <c r="F478" s="5" t="n"/>
      <c r="G478" s="5" t="inlineStr">
        <is>
          <t>Individual contributions</t>
        </is>
      </c>
      <c r="H478" s="5" t="n"/>
      <c r="I478" s="5" t="n"/>
      <c r="J478" s="5" t="n"/>
      <c r="K478" s="33" t="n">
        <v>886645.14</v>
      </c>
      <c r="L478" s="34" t="n"/>
      <c r="M478" s="5" t="inlineStr">
        <is>
          <t>2024-11-05</t>
        </is>
      </c>
    </row>
    <row r="479">
      <c r="A479" s="5" t="inlineStr">
        <is>
          <t>history_finance</t>
        </is>
      </c>
      <c r="B479" s="5" t="n">
        <v>2024</v>
      </c>
      <c r="C479" s="5" t="inlineStr">
        <is>
          <t>Ryan Mackenzie</t>
        </is>
      </c>
      <c r="D479" s="5" t="inlineStr">
        <is>
          <t>REP</t>
        </is>
      </c>
      <c r="E479" s="5" t="n"/>
      <c r="F479" s="5" t="n"/>
      <c r="G479" s="5" t="inlineStr">
        <is>
          <t>PAC contributions</t>
        </is>
      </c>
      <c r="H479" s="5" t="n"/>
      <c r="I479" s="5" t="n"/>
      <c r="J479" s="5" t="n"/>
      <c r="K479" s="33" t="n">
        <v>419249.05</v>
      </c>
      <c r="L479" s="34" t="n"/>
      <c r="M479" s="5" t="inlineStr">
        <is>
          <t>2024-11-05</t>
        </is>
      </c>
    </row>
    <row r="480">
      <c r="A480" s="5" t="inlineStr">
        <is>
          <t>history_finance</t>
        </is>
      </c>
      <c r="B480" s="5" t="n">
        <v>2024</v>
      </c>
      <c r="C480" s="5" t="inlineStr">
        <is>
          <t>Ryan Mackenzie</t>
        </is>
      </c>
      <c r="D480" s="5" t="inlineStr">
        <is>
          <t>REP</t>
        </is>
      </c>
      <c r="E480" s="5" t="n"/>
      <c r="F480" s="5" t="n"/>
      <c r="G480" s="5" t="inlineStr">
        <is>
          <t>Outside spending supporting</t>
        </is>
      </c>
      <c r="H480" s="5" t="n"/>
      <c r="I480" s="5" t="n"/>
      <c r="J480" s="5" t="n"/>
      <c r="K480" s="33" t="n">
        <v>1333061.79</v>
      </c>
      <c r="L480" s="34" t="n"/>
      <c r="M480" s="5" t="inlineStr">
        <is>
          <t>2024-11-05</t>
        </is>
      </c>
    </row>
    <row r="481">
      <c r="A481" s="5" t="inlineStr">
        <is>
          <t>history_finance</t>
        </is>
      </c>
      <c r="B481" s="5" t="n">
        <v>2024</v>
      </c>
      <c r="C481" s="5" t="inlineStr">
        <is>
          <t>Ryan Mackenzie</t>
        </is>
      </c>
      <c r="D481" s="5" t="inlineStr">
        <is>
          <t>REP</t>
        </is>
      </c>
      <c r="E481" s="5" t="n"/>
      <c r="F481" s="5" t="n"/>
      <c r="G481" s="5" t="inlineStr">
        <is>
          <t>Outside spending opposing</t>
        </is>
      </c>
      <c r="H481" s="5" t="n"/>
      <c r="I481" s="5" t="n"/>
      <c r="J481" s="5" t="n"/>
      <c r="K481" s="33" t="n">
        <v>9962854.130000001</v>
      </c>
      <c r="L481" s="34" t="n"/>
      <c r="M481" s="5" t="inlineStr">
        <is>
          <t>2024-11-05</t>
        </is>
      </c>
    </row>
    <row r="482">
      <c r="A482" s="5" t="inlineStr">
        <is>
          <t>history_result</t>
        </is>
      </c>
      <c r="B482" s="5" t="n">
        <v>2024</v>
      </c>
      <c r="C482" s="5" t="inlineStr">
        <is>
          <t>Ryan Mackenzie</t>
        </is>
      </c>
      <c r="D482" s="5" t="inlineStr">
        <is>
          <t>REP</t>
        </is>
      </c>
      <c r="E482" s="5" t="n"/>
      <c r="F482" s="5" t="n"/>
      <c r="G482" s="5" t="inlineStr">
        <is>
          <t>General election votes</t>
        </is>
      </c>
      <c r="H482" s="5" t="inlineStr">
        <is>
          <t>won</t>
        </is>
      </c>
      <c r="I482" s="5" t="n"/>
      <c r="J482" s="5" t="n"/>
      <c r="K482" s="33" t="n"/>
      <c r="L482" s="34" t="n">
        <v>203688</v>
      </c>
      <c r="M482" s="5" t="inlineStr">
        <is>
          <t>2024-11-05</t>
        </is>
      </c>
    </row>
  </sheetData>
  <autoFilter ref="A4:M482"/>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0"/>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Stronger Together PA (supports Brooks)</t>
        </is>
      </c>
      <c r="S20" s="37">
        <f>'Outside Money'!D6</f>
        <v/>
      </c>
    </row>
    <row r="21">
      <c r="R21" s="5" t="inlineStr">
        <is>
          <t>Lead Left PAC (opposes Brooks)</t>
        </is>
      </c>
      <c r="S21" s="37">
        <f>'Outside Money'!D7</f>
        <v/>
      </c>
    </row>
    <row r="22">
      <c r="R22" s="5" t="inlineStr">
        <is>
          <t>Jobs and Democracy PAC (supports Brooks)</t>
        </is>
      </c>
      <c r="S22" s="37">
        <f>'Outside Money'!D8</f>
        <v/>
      </c>
    </row>
    <row r="23">
      <c r="R23" s="5" t="inlineStr">
        <is>
          <t>Congressional Progressive Caucus PAC (supports Brooks)</t>
        </is>
      </c>
      <c r="S23" s="37">
        <f>'Outside Money'!D9</f>
        <v/>
      </c>
    </row>
    <row r="24">
      <c r="R24" s="5" t="inlineStr">
        <is>
          <t>Medicare for All (supports Brooks)</t>
        </is>
      </c>
      <c r="S24" s="37">
        <f>'Outside Money'!D10</f>
        <v/>
      </c>
    </row>
    <row r="25">
      <c r="R25" s="5" t="inlineStr">
        <is>
          <t>DLP PAC (supports Brooks)</t>
        </is>
      </c>
      <c r="S25" s="37">
        <f>'Outside Money'!D11</f>
        <v/>
      </c>
    </row>
    <row r="26">
      <c r="R26" s="5" t="inlineStr">
        <is>
          <t>Working Families Party PAC (supports Brooks)</t>
        </is>
      </c>
      <c r="S26" s="37">
        <f>'Outside Money'!D12</f>
        <v/>
      </c>
    </row>
    <row r="27">
      <c r="R27" s="5" t="inlineStr">
        <is>
          <t>Make the Road Action Political Committee (supports Brooks)</t>
        </is>
      </c>
      <c r="S27" s="37">
        <f>'Outside Money'!D13</f>
        <v/>
      </c>
    </row>
    <row r="28">
      <c r="R28" s="5" t="inlineStr">
        <is>
          <t>Blue Majority Project (supports Brooks)</t>
        </is>
      </c>
      <c r="S28" s="37">
        <f>'Outside Money'!D14</f>
        <v/>
      </c>
    </row>
    <row r="29">
      <c r="R29" s="5" t="inlineStr">
        <is>
          <t>Blue Battleground Project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Mackenzie, supports</t>
        </is>
      </c>
      <c r="S33" s="37">
        <f>'Outside Money'!C40</f>
        <v/>
      </c>
    </row>
    <row r="34">
      <c r="R34" s="5" t="inlineStr">
        <is>
          <t>Mackenzie, opposes</t>
        </is>
      </c>
      <c r="S34" s="37">
        <f>'Outside Money'!C41</f>
        <v/>
      </c>
    </row>
    <row r="35">
      <c r="R35" s="5" t="inlineStr">
        <is>
          <t>Brooks, supports</t>
        </is>
      </c>
      <c r="S35" s="37">
        <f>'Outside Money'!C42</f>
        <v/>
      </c>
    </row>
    <row r="36">
      <c r="R36" s="5" t="inlineStr">
        <is>
          <t>Brooks, opposes</t>
        </is>
      </c>
      <c r="S36" s="37">
        <f>'Outside Money'!C43</f>
        <v/>
      </c>
    </row>
    <row r="38">
      <c r="R38" s="35" t="inlineStr">
        <is>
          <t>CHART 6: concentration of outside spending</t>
        </is>
      </c>
    </row>
    <row r="39">
      <c r="R39" s="36" t="inlineStr">
        <is>
          <t>Committee</t>
        </is>
      </c>
      <c r="S39" s="36" t="inlineStr">
        <is>
          <t>Outside spending</t>
        </is>
      </c>
    </row>
    <row r="40">
      <c r="R40" s="5" t="inlineStr">
        <is>
          <t>Stronger Together PA</t>
        </is>
      </c>
      <c r="S40" s="37">
        <f>'Outside Money'!D6</f>
        <v/>
      </c>
    </row>
    <row r="41">
      <c r="R41" s="5" t="inlineStr">
        <is>
          <t>Lead Left PAC</t>
        </is>
      </c>
      <c r="S41" s="37">
        <f>'Outside Money'!D7</f>
        <v/>
      </c>
    </row>
    <row r="42">
      <c r="R42" s="5" t="inlineStr">
        <is>
          <t>Jobs and Democracy PAC</t>
        </is>
      </c>
      <c r="S42" s="37">
        <f>'Outside Money'!D8</f>
        <v/>
      </c>
    </row>
    <row r="43">
      <c r="R43" s="5" t="inlineStr">
        <is>
          <t>Congressional Progressive Caucus PAC</t>
        </is>
      </c>
      <c r="S43" s="37">
        <f>'Outside Money'!D9</f>
        <v/>
      </c>
    </row>
    <row r="44">
      <c r="R44" s="5" t="inlineStr">
        <is>
          <t>Medicare for All</t>
        </is>
      </c>
      <c r="S44" s="37">
        <f>'Outside Money'!D10</f>
        <v/>
      </c>
    </row>
    <row r="45">
      <c r="R45" s="5" t="inlineStr">
        <is>
          <t>DLP PAC</t>
        </is>
      </c>
      <c r="S45" s="37">
        <f>'Outside Money'!D11</f>
        <v/>
      </c>
    </row>
    <row r="46">
      <c r="R46" s="5" t="inlineStr">
        <is>
          <t>All other (24 committees)</t>
        </is>
      </c>
      <c r="S46" s="37">
        <f>'Outside Money'!D36-SUM('Outside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2026-06-30. Retrieved 2026-09-28T23:32:20Z.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Ryan Mackenzie</t>
        </is>
      </c>
      <c r="B6" s="11" t="inlineStr">
        <is>
          <t>REP</t>
        </is>
      </c>
      <c r="C6" s="11" t="inlineStr">
        <is>
          <t>Nominee</t>
        </is>
      </c>
      <c r="D6" s="11" t="inlineStr">
        <is>
          <t>yes</t>
        </is>
      </c>
      <c r="E6" s="11" t="inlineStr">
        <is>
          <t>yes</t>
        </is>
      </c>
      <c r="F6" s="11" t="inlineStr">
        <is>
          <t>2026-06-30</t>
        </is>
      </c>
      <c r="G6" s="44" t="n">
        <v>4357405.11</v>
      </c>
      <c r="H6" s="44" t="n">
        <v>1521927.85</v>
      </c>
      <c r="I6" s="44" t="n">
        <v>2938717.17</v>
      </c>
      <c r="J6" s="44" t="n">
        <v>22583.23</v>
      </c>
      <c r="K6" s="44" t="n">
        <v>1493241.01</v>
      </c>
      <c r="L6" s="44" t="n">
        <v>554133.97</v>
      </c>
      <c r="M6" s="44" t="n">
        <v>1042912.78</v>
      </c>
      <c r="N6" s="44" t="n">
        <v>5000</v>
      </c>
      <c r="O6" s="44" t="n">
        <v>1779199.14</v>
      </c>
      <c r="P6" s="44" t="n">
        <v>0</v>
      </c>
      <c r="Q6" s="42">
        <f>IF(ISNUMBER(G6),G6-(K6+M6+N6+O6+P6),"")</f>
        <v/>
      </c>
    </row>
    <row r="7">
      <c r="A7" s="11" t="inlineStr">
        <is>
          <t>Bob Brooks</t>
        </is>
      </c>
      <c r="B7" s="11" t="inlineStr">
        <is>
          <t>DEM</t>
        </is>
      </c>
      <c r="C7" s="11" t="inlineStr">
        <is>
          <t>Nominee</t>
        </is>
      </c>
      <c r="D7" s="11" t="inlineStr">
        <is>
          <t>no</t>
        </is>
      </c>
      <c r="E7" s="11" t="inlineStr">
        <is>
          <t>yes</t>
        </is>
      </c>
      <c r="F7" s="11" t="inlineStr">
        <is>
          <t>2026-06-30</t>
        </is>
      </c>
      <c r="G7" s="44" t="n">
        <v>2392215.23</v>
      </c>
      <c r="H7" s="44" t="n">
        <v>1373792.39</v>
      </c>
      <c r="I7" s="44" t="n">
        <v>1018422.84</v>
      </c>
      <c r="J7" s="44" t="n">
        <v>15000</v>
      </c>
      <c r="K7" s="44" t="n">
        <v>1942165.53</v>
      </c>
      <c r="L7" s="44" t="n">
        <v>599386.78</v>
      </c>
      <c r="M7" s="44" t="n">
        <v>403000.03</v>
      </c>
      <c r="N7" s="44" t="n">
        <v>5000</v>
      </c>
      <c r="O7" s="44" t="n">
        <v>26085</v>
      </c>
      <c r="P7" s="44" t="n">
        <v>3500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52"/>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STRONGER TOGETHER PA</t>
        </is>
      </c>
      <c r="B6" s="14" t="inlineStr">
        <is>
          <t>Bob Brooks</t>
        </is>
      </c>
      <c r="C6" s="46" t="inlineStr">
        <is>
          <t>Supports</t>
        </is>
      </c>
      <c r="D6" s="47" t="n">
        <v>1781524</v>
      </c>
      <c r="E6" s="14" t="n">
        <v>21</v>
      </c>
      <c r="F6" s="14" t="inlineStr">
        <is>
          <t>C00936153</t>
        </is>
      </c>
      <c r="G6" s="22">
        <f>IFERROR(D6/$D$36,"")</f>
        <v/>
      </c>
    </row>
    <row r="7">
      <c r="A7" s="14" t="inlineStr">
        <is>
          <t>LEAD LEFT PAC</t>
        </is>
      </c>
      <c r="B7" s="14" t="inlineStr">
        <is>
          <t>Bob Brooks</t>
        </is>
      </c>
      <c r="C7" s="46" t="inlineStr">
        <is>
          <t>Opposes</t>
        </is>
      </c>
      <c r="D7" s="47" t="n">
        <v>312371.76</v>
      </c>
      <c r="E7" s="14" t="n">
        <v>7</v>
      </c>
      <c r="F7" s="14" t="inlineStr">
        <is>
          <t>C00948208</t>
        </is>
      </c>
      <c r="G7" s="22">
        <f>IFERROR(D7/$D$36,"")</f>
        <v/>
      </c>
    </row>
    <row r="8">
      <c r="A8" s="14" t="inlineStr">
        <is>
          <t>JOBS AND DEMOCRACY PAC</t>
        </is>
      </c>
      <c r="B8" s="14" t="inlineStr">
        <is>
          <t>Bob Brooks</t>
        </is>
      </c>
      <c r="C8" s="46" t="inlineStr">
        <is>
          <t>Supports</t>
        </is>
      </c>
      <c r="D8" s="47" t="n">
        <v>249750</v>
      </c>
      <c r="E8" s="14" t="n">
        <v>1</v>
      </c>
      <c r="F8" s="14" t="inlineStr">
        <is>
          <t>C00928374</t>
        </is>
      </c>
      <c r="G8" s="22">
        <f>IFERROR(D8/$D$36,"")</f>
        <v/>
      </c>
    </row>
    <row r="9">
      <c r="A9" s="14" t="inlineStr">
        <is>
          <t>CONGRESSIONAL PROGRESSIVE CAUCUS PAC</t>
        </is>
      </c>
      <c r="B9" s="14" t="inlineStr">
        <is>
          <t>Bob Brooks</t>
        </is>
      </c>
      <c r="C9" s="46" t="inlineStr">
        <is>
          <t>Supports</t>
        </is>
      </c>
      <c r="D9" s="47" t="n">
        <v>140300</v>
      </c>
      <c r="E9" s="14" t="n">
        <v>2</v>
      </c>
      <c r="F9" s="14" t="inlineStr">
        <is>
          <t>C00513176</t>
        </is>
      </c>
      <c r="G9" s="22">
        <f>IFERROR(D9/$D$36,"")</f>
        <v/>
      </c>
    </row>
    <row r="10">
      <c r="A10" s="14" t="inlineStr">
        <is>
          <t>MEDICARE FOR ALL</t>
        </is>
      </c>
      <c r="B10" s="14" t="inlineStr">
        <is>
          <t>Bob Brooks</t>
        </is>
      </c>
      <c r="C10" s="46" t="inlineStr">
        <is>
          <t>Supports</t>
        </is>
      </c>
      <c r="D10" s="47" t="n">
        <v>99625</v>
      </c>
      <c r="E10" s="14" t="n">
        <v>2</v>
      </c>
      <c r="F10" s="14" t="inlineStr">
        <is>
          <t>C00685552</t>
        </is>
      </c>
      <c r="G10" s="22">
        <f>IFERROR(D10/$D$36,"")</f>
        <v/>
      </c>
    </row>
    <row r="11">
      <c r="A11" s="14" t="inlineStr">
        <is>
          <t>DLP PAC</t>
        </is>
      </c>
      <c r="B11" s="14" t="inlineStr">
        <is>
          <t>Bob Brooks</t>
        </is>
      </c>
      <c r="C11" s="46" t="inlineStr">
        <is>
          <t>Supports</t>
        </is>
      </c>
      <c r="D11" s="47" t="n">
        <v>88321.5</v>
      </c>
      <c r="E11" s="14" t="n">
        <v>4</v>
      </c>
      <c r="F11" s="14" t="inlineStr">
        <is>
          <t>C00895730</t>
        </is>
      </c>
      <c r="G11" s="22">
        <f>IFERROR(D11/$D$36,"")</f>
        <v/>
      </c>
    </row>
    <row r="12">
      <c r="A12" s="14" t="inlineStr">
        <is>
          <t>WORKING FAMILIES PARTY PAC</t>
        </is>
      </c>
      <c r="B12" s="14" t="inlineStr">
        <is>
          <t>Bob Brooks</t>
        </is>
      </c>
      <c r="C12" s="46" t="inlineStr">
        <is>
          <t>Supports</t>
        </is>
      </c>
      <c r="D12" s="47" t="n">
        <v>41020.59</v>
      </c>
      <c r="E12" s="14" t="n">
        <v>3</v>
      </c>
      <c r="F12" s="14" t="inlineStr">
        <is>
          <t>C00606962</t>
        </is>
      </c>
      <c r="G12" s="22">
        <f>IFERROR(D12/$D$36,"")</f>
        <v/>
      </c>
    </row>
    <row r="13">
      <c r="A13" s="14" t="inlineStr">
        <is>
          <t>MAKE THE ROAD ACTION POLITICAL COMMITTEE</t>
        </is>
      </c>
      <c r="B13" s="14" t="inlineStr">
        <is>
          <t>Bob Brooks</t>
        </is>
      </c>
      <c r="C13" s="46" t="inlineStr">
        <is>
          <t>Supports</t>
        </is>
      </c>
      <c r="D13" s="47" t="n">
        <v>30559.95</v>
      </c>
      <c r="E13" s="14" t="n">
        <v>9</v>
      </c>
      <c r="F13" s="14" t="inlineStr">
        <is>
          <t>C00689745</t>
        </is>
      </c>
      <c r="G13" s="22">
        <f>IFERROR(D13/$D$36,"")</f>
        <v/>
      </c>
    </row>
    <row r="14">
      <c r="A14" s="14" t="inlineStr">
        <is>
          <t>BLUE MAJORITY PROJECT</t>
        </is>
      </c>
      <c r="B14" s="14" t="inlineStr">
        <is>
          <t>Bob Brooks</t>
        </is>
      </c>
      <c r="C14" s="46" t="inlineStr">
        <is>
          <t>Supports</t>
        </is>
      </c>
      <c r="D14" s="47" t="n">
        <v>16643.34</v>
      </c>
      <c r="E14" s="14" t="n">
        <v>3</v>
      </c>
      <c r="F14" s="14" t="inlineStr">
        <is>
          <t>C00897363</t>
        </is>
      </c>
      <c r="G14" s="22">
        <f>IFERROR(D14/$D$36,"")</f>
        <v/>
      </c>
    </row>
    <row r="15">
      <c r="A15" s="14" t="inlineStr">
        <is>
          <t>BLUE BATTLEGROUND PROJECT</t>
        </is>
      </c>
      <c r="B15" s="14" t="inlineStr">
        <is>
          <t>Bob Brooks</t>
        </is>
      </c>
      <c r="C15" s="46" t="inlineStr">
        <is>
          <t>Supports</t>
        </is>
      </c>
      <c r="D15" s="47" t="n">
        <v>9116.67</v>
      </c>
      <c r="E15" s="14" t="n">
        <v>1</v>
      </c>
      <c r="F15" s="14" t="inlineStr">
        <is>
          <t>C00704593</t>
        </is>
      </c>
      <c r="G15" s="22">
        <f>IFERROR(D15/$D$36,"")</f>
        <v/>
      </c>
    </row>
    <row r="16">
      <c r="A16" s="14" t="inlineStr">
        <is>
          <t>KITCHEN TABLE VALUES PAC</t>
        </is>
      </c>
      <c r="B16" s="14" t="inlineStr">
        <is>
          <t>Bob Brooks</t>
        </is>
      </c>
      <c r="C16" s="46" t="inlineStr">
        <is>
          <t>Opposes</t>
        </is>
      </c>
      <c r="D16" s="47" t="n">
        <v>8840</v>
      </c>
      <c r="E16" s="14" t="n">
        <v>5</v>
      </c>
      <c r="F16" s="14" t="inlineStr">
        <is>
          <t>C00924159</t>
        </is>
      </c>
      <c r="G16" s="22">
        <f>IFERROR(D16/$D$36,"")</f>
        <v/>
      </c>
    </row>
    <row r="17">
      <c r="A17" s="14" t="inlineStr">
        <is>
          <t>YOUTH SAVE DEMOCRACY PAC</t>
        </is>
      </c>
      <c r="B17" s="14" t="inlineStr">
        <is>
          <t>Ryan Mackenzie</t>
        </is>
      </c>
      <c r="C17" s="46" t="inlineStr">
        <is>
          <t>Opposes</t>
        </is>
      </c>
      <c r="D17" s="47" t="n">
        <v>6044</v>
      </c>
      <c r="E17" s="14" t="n">
        <v>1</v>
      </c>
      <c r="F17" s="14" t="inlineStr">
        <is>
          <t>C00832493</t>
        </is>
      </c>
      <c r="G17" s="22">
        <f>IFERROR(D17/$D$36,"")</f>
        <v/>
      </c>
    </row>
    <row r="18">
      <c r="A18" s="14" t="inlineStr">
        <is>
          <t>MAJORITY BLUE PAC</t>
        </is>
      </c>
      <c r="B18" s="14" t="inlineStr">
        <is>
          <t>Bob Brooks</t>
        </is>
      </c>
      <c r="C18" s="46" t="inlineStr">
        <is>
          <t>Supports</t>
        </is>
      </c>
      <c r="D18" s="47" t="n">
        <v>4941.66</v>
      </c>
      <c r="E18" s="14" t="n">
        <v>2</v>
      </c>
      <c r="F18" s="14" t="inlineStr">
        <is>
          <t>C00948000</t>
        </is>
      </c>
      <c r="G18" s="22">
        <f>IFERROR(D18/$D$36,"")</f>
        <v/>
      </c>
    </row>
    <row r="19">
      <c r="A19" s="14" t="inlineStr">
        <is>
          <t>BLUE SHIFT PAC</t>
        </is>
      </c>
      <c r="B19" s="14" t="inlineStr">
        <is>
          <t>Bob Brooks</t>
        </is>
      </c>
      <c r="C19" s="46" t="inlineStr">
        <is>
          <t>Supports</t>
        </is>
      </c>
      <c r="D19" s="47" t="n">
        <v>4708.33</v>
      </c>
      <c r="E19" s="14" t="n">
        <v>2</v>
      </c>
      <c r="F19" s="14" t="inlineStr">
        <is>
          <t>C00933614</t>
        </is>
      </c>
      <c r="G19" s="22">
        <f>IFERROR(D19/$D$36,"")</f>
        <v/>
      </c>
    </row>
    <row r="20">
      <c r="A20" s="14" t="inlineStr">
        <is>
          <t>FF PAC</t>
        </is>
      </c>
      <c r="B20" s="14" t="inlineStr">
        <is>
          <t>Bob Brooks</t>
        </is>
      </c>
      <c r="C20" s="46" t="inlineStr">
        <is>
          <t>Supports</t>
        </is>
      </c>
      <c r="D20" s="47" t="n">
        <v>4500</v>
      </c>
      <c r="E20" s="14" t="n">
        <v>2</v>
      </c>
      <c r="F20" s="14" t="inlineStr">
        <is>
          <t>C00669259</t>
        </is>
      </c>
      <c r="G20" s="22">
        <f>IFERROR(D20/$D$36,"")</f>
        <v/>
      </c>
    </row>
    <row r="21">
      <c r="A21" s="14" t="inlineStr">
        <is>
          <t>SEIU COPE (SERVICE EMPLOYEES INTERNATIONAL UNION COMMITTEE ON POLITICAL EDUCATION)</t>
        </is>
      </c>
      <c r="B21" s="14" t="inlineStr">
        <is>
          <t>Bob Brooks</t>
        </is>
      </c>
      <c r="C21" s="46" t="inlineStr">
        <is>
          <t>Supports</t>
        </is>
      </c>
      <c r="D21" s="47" t="n">
        <v>3140.99</v>
      </c>
      <c r="E21" s="14" t="n">
        <v>3</v>
      </c>
      <c r="F21" s="14" t="inlineStr">
        <is>
          <t>C00004036</t>
        </is>
      </c>
      <c r="G21" s="22">
        <f>IFERROR(D21/$D$36,"")</f>
        <v/>
      </c>
    </row>
    <row r="22">
      <c r="A22" s="14" t="inlineStr">
        <is>
          <t>DEMOCRATIC FUTURE PAC</t>
        </is>
      </c>
      <c r="B22" s="14" t="inlineStr">
        <is>
          <t>Bob Brooks</t>
        </is>
      </c>
      <c r="C22" s="46" t="inlineStr">
        <is>
          <t>Supports</t>
        </is>
      </c>
      <c r="D22" s="47" t="n">
        <v>2600</v>
      </c>
      <c r="E22" s="14" t="n">
        <v>2</v>
      </c>
      <c r="F22" s="14" t="inlineStr">
        <is>
          <t>C00934273</t>
        </is>
      </c>
      <c r="G22" s="22">
        <f>IFERROR(D22/$D$36,"")</f>
        <v/>
      </c>
    </row>
    <row r="23">
      <c r="A23" s="14" t="inlineStr">
        <is>
          <t>INDIGO PAC</t>
        </is>
      </c>
      <c r="B23" s="14" t="inlineStr">
        <is>
          <t>Ryan Mackenzie</t>
        </is>
      </c>
      <c r="C23" s="46" t="inlineStr">
        <is>
          <t>Opposes</t>
        </is>
      </c>
      <c r="D23" s="47" t="n">
        <v>1835.77</v>
      </c>
      <c r="E23" s="14" t="n">
        <v>10</v>
      </c>
      <c r="F23" s="14" t="inlineStr">
        <is>
          <t>C00909465</t>
        </is>
      </c>
      <c r="G23" s="22">
        <f>IFERROR(D23/$D$36,"")</f>
        <v/>
      </c>
    </row>
    <row r="24">
      <c r="A24" s="14" t="inlineStr">
        <is>
          <t>ACTIVATE AMERICA</t>
        </is>
      </c>
      <c r="B24" s="14" t="inlineStr">
        <is>
          <t>Ryan Mackenzie</t>
        </is>
      </c>
      <c r="C24" s="46" t="inlineStr">
        <is>
          <t>Opposes</t>
        </is>
      </c>
      <c r="D24" s="47" t="n">
        <v>1702.29</v>
      </c>
      <c r="E24" s="14" t="n">
        <v>4</v>
      </c>
      <c r="F24" s="14" t="inlineStr">
        <is>
          <t>C00640300</t>
        </is>
      </c>
      <c r="G24" s="22">
        <f>IFERROR(D24/$D$36,"")</f>
        <v/>
      </c>
    </row>
    <row r="25">
      <c r="A25" s="14" t="inlineStr">
        <is>
          <t>RURAL FREEDOM NETWORK</t>
        </is>
      </c>
      <c r="B25" s="14" t="inlineStr">
        <is>
          <t>Ryan Mackenzie</t>
        </is>
      </c>
      <c r="C25" s="46" t="inlineStr">
        <is>
          <t>Opposes</t>
        </is>
      </c>
      <c r="D25" s="47" t="n">
        <v>1517.06</v>
      </c>
      <c r="E25" s="14" t="n">
        <v>1</v>
      </c>
      <c r="F25" s="14" t="inlineStr">
        <is>
          <t>C00647966</t>
        </is>
      </c>
      <c r="G25" s="22">
        <f>IFERROR(D25/$D$36,"")</f>
        <v/>
      </c>
    </row>
    <row r="26">
      <c r="A26" s="14" t="inlineStr">
        <is>
          <t>FIELD TEAM 6, INC.</t>
        </is>
      </c>
      <c r="B26" s="14" t="inlineStr">
        <is>
          <t>Ryan Mackenzie</t>
        </is>
      </c>
      <c r="C26" s="46" t="inlineStr">
        <is>
          <t>Opposes</t>
        </is>
      </c>
      <c r="D26" s="47" t="n">
        <v>1096.69</v>
      </c>
      <c r="E26" s="14" t="n">
        <v>2</v>
      </c>
      <c r="F26" s="14" t="inlineStr">
        <is>
          <t>C00909994</t>
        </is>
      </c>
      <c r="G26" s="22">
        <f>IFERROR(D26/$D$36,"")</f>
        <v/>
      </c>
    </row>
    <row r="27">
      <c r="A27" s="14" t="inlineStr">
        <is>
          <t>BLUE DEMOCRACY NETWORK</t>
        </is>
      </c>
      <c r="B27" s="14" t="inlineStr">
        <is>
          <t>Bob Brooks</t>
        </is>
      </c>
      <c r="C27" s="46" t="inlineStr">
        <is>
          <t>Supports</t>
        </is>
      </c>
      <c r="D27" s="47" t="n">
        <v>1075</v>
      </c>
      <c r="E27" s="14" t="n">
        <v>2</v>
      </c>
      <c r="F27" s="14" t="inlineStr">
        <is>
          <t>C00933796</t>
        </is>
      </c>
      <c r="G27" s="22">
        <f>IFERROR(D27/$D$36,"")</f>
        <v/>
      </c>
    </row>
    <row r="28">
      <c r="A28" s="14" t="inlineStr">
        <is>
          <t>BLUE MAJORITY MAKERS PAC</t>
        </is>
      </c>
      <c r="B28" s="14" t="inlineStr">
        <is>
          <t>Bob Brooks</t>
        </is>
      </c>
      <c r="C28" s="46" t="inlineStr">
        <is>
          <t>Supports</t>
        </is>
      </c>
      <c r="D28" s="47" t="n">
        <v>766.66</v>
      </c>
      <c r="E28" s="14" t="n">
        <v>2</v>
      </c>
      <c r="F28" s="14" t="inlineStr">
        <is>
          <t>C00948109</t>
        </is>
      </c>
      <c r="G28" s="22">
        <f>IFERROR(D28/$D$36,"")</f>
        <v/>
      </c>
    </row>
    <row r="29">
      <c r="A29" s="14" t="inlineStr">
        <is>
          <t>FIELD TEAM 6, INC.</t>
        </is>
      </c>
      <c r="B29" s="14" t="inlineStr">
        <is>
          <t>Bob Brooks</t>
        </is>
      </c>
      <c r="C29" s="46" t="inlineStr">
        <is>
          <t>Supports</t>
        </is>
      </c>
      <c r="D29" s="47" t="n">
        <v>638.3</v>
      </c>
      <c r="E29" s="14" t="n">
        <v>1</v>
      </c>
      <c r="F29" s="14" t="inlineStr">
        <is>
          <t>C00909994</t>
        </is>
      </c>
      <c r="G29" s="22">
        <f>IFERROR(D29/$D$36,"")</f>
        <v/>
      </c>
    </row>
    <row r="30">
      <c r="A30" s="14" t="inlineStr">
        <is>
          <t>PEOPLE'S ACTION POWER</t>
        </is>
      </c>
      <c r="B30" s="14" t="inlineStr">
        <is>
          <t>Bob Brooks</t>
        </is>
      </c>
      <c r="C30" s="46" t="inlineStr">
        <is>
          <t>Supports</t>
        </is>
      </c>
      <c r="D30" s="47" t="n">
        <v>530.05</v>
      </c>
      <c r="E30" s="14" t="n">
        <v>1</v>
      </c>
      <c r="F30" s="14" t="inlineStr">
        <is>
          <t>C00738237</t>
        </is>
      </c>
      <c r="G30" s="22">
        <f>IFERROR(D30/$D$36,"")</f>
        <v/>
      </c>
    </row>
    <row r="31">
      <c r="A31" s="14" t="inlineStr">
        <is>
          <t>SURJ PAC</t>
        </is>
      </c>
      <c r="B31" s="14" t="inlineStr">
        <is>
          <t>Bob Brooks</t>
        </is>
      </c>
      <c r="C31" s="46" t="inlineStr">
        <is>
          <t>Supports</t>
        </is>
      </c>
      <c r="D31" s="47" t="n">
        <v>187.51</v>
      </c>
      <c r="E31" s="14" t="n">
        <v>1</v>
      </c>
      <c r="F31" s="14" t="inlineStr">
        <is>
          <t>C00742205</t>
        </is>
      </c>
      <c r="G31" s="22">
        <f>IFERROR(D31/$D$36,"")</f>
        <v/>
      </c>
    </row>
    <row r="32">
      <c r="A32" s="14" t="inlineStr">
        <is>
          <t>RURAL FREEDOM NETWORK</t>
        </is>
      </c>
      <c r="B32" s="14" t="inlineStr">
        <is>
          <t>Bob Brooks</t>
        </is>
      </c>
      <c r="C32" s="46" t="inlineStr">
        <is>
          <t>Supports</t>
        </is>
      </c>
      <c r="D32" s="47" t="n">
        <v>157.07</v>
      </c>
      <c r="E32" s="14" t="n">
        <v>1</v>
      </c>
      <c r="F32" s="14" t="inlineStr">
        <is>
          <t>C00647966</t>
        </is>
      </c>
      <c r="G32" s="22">
        <f>IFERROR(D32/$D$36,"")</f>
        <v/>
      </c>
    </row>
    <row r="33">
      <c r="A33" s="14" t="inlineStr">
        <is>
          <t>PLANNED PARENTHOOD VOTES</t>
        </is>
      </c>
      <c r="B33" s="14" t="inlineStr">
        <is>
          <t>Ryan Mackenzie</t>
        </is>
      </c>
      <c r="C33" s="46" t="inlineStr">
        <is>
          <t>Opposes</t>
        </is>
      </c>
      <c r="D33" s="47" t="n">
        <v>156.81</v>
      </c>
      <c r="E33" s="14" t="n">
        <v>2</v>
      </c>
      <c r="F33" s="14" t="inlineStr">
        <is>
          <t>C00489799</t>
        </is>
      </c>
      <c r="G33" s="22">
        <f>IFERROR(D33/$D$36,"")</f>
        <v/>
      </c>
    </row>
    <row r="34">
      <c r="A34" s="14" t="inlineStr">
        <is>
          <t>THE PEOPLE UNITED PAC</t>
        </is>
      </c>
      <c r="B34" s="14" t="inlineStr">
        <is>
          <t>Bob Brooks</t>
        </is>
      </c>
      <c r="C34" s="46" t="inlineStr">
        <is>
          <t>Supports</t>
        </is>
      </c>
      <c r="D34" s="47" t="n">
        <v>50</v>
      </c>
      <c r="E34" s="14" t="n">
        <v>1</v>
      </c>
      <c r="F34" s="14" t="inlineStr">
        <is>
          <t>C00776419</t>
        </is>
      </c>
      <c r="G34" s="22">
        <f>IFERROR(D34/$D$36,"")</f>
        <v/>
      </c>
    </row>
    <row r="35">
      <c r="A35" s="14" t="inlineStr">
        <is>
          <t>GIVEGREEN UNITED ACTION</t>
        </is>
      </c>
      <c r="B35" s="14" t="inlineStr">
        <is>
          <t>Bob Brooks</t>
        </is>
      </c>
      <c r="C35" s="46" t="inlineStr">
        <is>
          <t>Supports</t>
        </is>
      </c>
      <c r="D35" s="47" t="n">
        <v>36.54</v>
      </c>
      <c r="E35" s="14" t="n">
        <v>2</v>
      </c>
      <c r="F35" s="14" t="inlineStr">
        <is>
          <t>C00802389</t>
        </is>
      </c>
      <c r="G35" s="22">
        <f>IFERROR(D35/$D$36,"")</f>
        <v/>
      </c>
    </row>
    <row r="36">
      <c r="A36" s="15" t="inlineStr">
        <is>
          <t>TOTAL</t>
        </is>
      </c>
      <c r="B36" s="20" t="n"/>
      <c r="C36" s="20" t="n"/>
      <c r="D36" s="48">
        <f>SUM(D6:D35)</f>
        <v/>
      </c>
      <c r="E36" s="20" t="n"/>
      <c r="F36" s="20" t="n"/>
      <c r="G36" s="39">
        <f>IFERROR(SUM(G6:G35),"")</f>
        <v/>
      </c>
    </row>
    <row r="38" ht="18" customHeight="1">
      <c r="A38" s="3" t="inlineStr">
        <is>
          <t>BY TARGET CANDIDATE AND STANCE</t>
        </is>
      </c>
      <c r="B38" s="4" t="n"/>
      <c r="C38" s="4" t="n"/>
      <c r="D38" s="4" t="n"/>
      <c r="E38" s="4" t="n"/>
      <c r="F38" s="4" t="n"/>
      <c r="G38" s="4" t="n"/>
    </row>
    <row r="39" ht="32" customHeight="1">
      <c r="A39" s="10" t="inlineStr">
        <is>
          <t>Target candidate</t>
        </is>
      </c>
      <c r="B39" s="10" t="inlineStr">
        <is>
          <t>Stance</t>
        </is>
      </c>
      <c r="C39" s="10" t="inlineStr">
        <is>
          <t>Amount</t>
        </is>
      </c>
      <c r="D39" s="10" t="inlineStr">
        <is>
          <t>Committees</t>
        </is>
      </c>
      <c r="E39" s="10" t="inlineStr">
        <is>
          <t>Share</t>
        </is>
      </c>
      <c r="F39" s="10" t="inlineStr"/>
      <c r="G39" s="10" t="inlineStr"/>
    </row>
    <row r="40">
      <c r="A40" s="14" t="inlineStr">
        <is>
          <t>Ryan Mackenzie</t>
        </is>
      </c>
      <c r="B40" s="14" t="inlineStr">
        <is>
          <t>Supports</t>
        </is>
      </c>
      <c r="C40" s="42">
        <f>SUMIFS($D$6:$D$35,$B$6:$B$35,A40,$C$6:$C$35,B40)</f>
        <v/>
      </c>
      <c r="D40" s="14">
        <f>COUNTIFS($B$6:$B$35,A40,$C$6:$C$35,B40)</f>
        <v/>
      </c>
      <c r="E40" s="22">
        <f>IFERROR(C40/$D$36,"")</f>
        <v/>
      </c>
    </row>
    <row r="41">
      <c r="A41" s="14" t="inlineStr">
        <is>
          <t>Ryan Mackenzie</t>
        </is>
      </c>
      <c r="B41" s="14" t="inlineStr">
        <is>
          <t>Opposes</t>
        </is>
      </c>
      <c r="C41" s="42">
        <f>SUMIFS($D$6:$D$35,$B$6:$B$35,A41,$C$6:$C$35,B41)</f>
        <v/>
      </c>
      <c r="D41" s="14">
        <f>COUNTIFS($B$6:$B$35,A41,$C$6:$C$35,B41)</f>
        <v/>
      </c>
      <c r="E41" s="22">
        <f>IFERROR(C41/$D$36,"")</f>
        <v/>
      </c>
    </row>
    <row r="42">
      <c r="A42" s="14" t="inlineStr">
        <is>
          <t>Bob Brooks</t>
        </is>
      </c>
      <c r="B42" s="14" t="inlineStr">
        <is>
          <t>Supports</t>
        </is>
      </c>
      <c r="C42" s="42">
        <f>SUMIFS($D$6:$D$35,$B$6:$B$35,A42,$C$6:$C$35,B42)</f>
        <v/>
      </c>
      <c r="D42" s="14">
        <f>COUNTIFS($B$6:$B$35,A42,$C$6:$C$35,B42)</f>
        <v/>
      </c>
      <c r="E42" s="22">
        <f>IFERROR(C42/$D$36,"")</f>
        <v/>
      </c>
    </row>
    <row r="43">
      <c r="A43" s="14" t="inlineStr">
        <is>
          <t>Bob Brooks</t>
        </is>
      </c>
      <c r="B43" s="14" t="inlineStr">
        <is>
          <t>Opposes</t>
        </is>
      </c>
      <c r="C43" s="42">
        <f>SUMIFS($D$6:$D$35,$B$6:$B$35,A43,$C$6:$C$35,B43)</f>
        <v/>
      </c>
      <c r="D43" s="14">
        <f>COUNTIFS($B$6:$B$35,A43,$C$6:$C$35,B43)</f>
        <v/>
      </c>
      <c r="E43" s="22">
        <f>IFERROR(C43/$D$36,"")</f>
        <v/>
      </c>
    </row>
    <row r="44">
      <c r="A44" s="15" t="inlineStr">
        <is>
          <t>TOTAL</t>
        </is>
      </c>
      <c r="B44" s="20" t="n"/>
      <c r="C44" s="17">
        <f>SUM(C40:C43)</f>
        <v/>
      </c>
      <c r="D44" s="15">
        <f>SUM(D40:D43)</f>
        <v/>
      </c>
      <c r="E44" s="20" t="n"/>
    </row>
    <row r="46" ht="13" customHeight="1">
      <c r="A46" s="45" t="inlineStr">
        <is>
          <t>HOW TO READ OUTSIDE SPENDING</t>
        </is>
      </c>
    </row>
    <row r="47" ht="36" customHeight="1">
      <c r="A47" s="32" t="inlineStr">
        <is>
          <t>- Candidate totals are cycle-to-date from each committee's most recent periodic report (FEC Form 3). Independent expenditures report continuously and are usually fresher than the candidate totals; the two are not as of the same date.</t>
        </is>
      </c>
    </row>
    <row r="48" ht="36" customHeight="1">
      <c r="A48" s="32" t="inlineStr">
        <is>
          <t>- Independent expenditures come from OpenFEC's schedules/schedule_e/by_candidate aggregate, FEC's own deduplication of amended and superseded filings. Summing raw itemized Schedule E lines instead would roughly double the figure and would be wrong.</t>
        </is>
      </c>
    </row>
    <row r="49" ht="24" customHeight="1">
      <c r="A49" s="32" t="inlineStr">
        <is>
          <t>- That aggregate can lag a 24-hour notice by several weeks. Spending reported by notice in the last month may not yet appear here.</t>
        </is>
      </c>
    </row>
    <row r="50" ht="24" customHeight="1">
      <c r="A50" s="32" t="inlineStr">
        <is>
          <t>- Candidates with no periodic report on file show blank fields, not $0. The FEC reports no figures for them, which is not the same as a confirmed zero.</t>
        </is>
      </c>
    </row>
    <row r="51" ht="48" customHeight="1">
      <c r="A51"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52" ht="24" customHeight="1">
      <c r="A52" s="32" t="inlineStr">
        <is>
          <t>- 'Self-funding' is FEC's candidate_contribution: the candidate's own money given or loaned to the campaign this cycle.</t>
        </is>
      </c>
    </row>
  </sheetData>
  <mergeCells count="7">
    <mergeCell ref="A51:G51"/>
    <mergeCell ref="A50:G50"/>
    <mergeCell ref="A48:G48"/>
    <mergeCell ref="A52:G52"/>
    <mergeCell ref="A49:G49"/>
    <mergeCell ref="A47:G47"/>
    <mergeCell ref="A46:G46"/>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2026-06-30. Categories assigned from the description on each report. Retrieved 2026-09-28T23:33:24Z.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2026-06-30. FEC aggregates. Retrieved 2026-09-28T23:33:24Z.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645126.5600000001</v>
      </c>
      <c r="C21" s="22">
        <f>IF(AND(ISNUMBER(B21),ISNUMBER(B26),B26&lt;&gt;0),B21/B26,"")</f>
        <v/>
      </c>
      <c r="D21" s="49" t="n"/>
      <c r="E21" s="44" t="n">
        <v>734290.36</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21"/>
  <sheetViews>
    <sheetView workbookViewId="0">
      <pane ySplit="19" topLeftCell="A20"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SUMIFS($H$20:$H$119,$I$20:$I$119,A6)</f>
        <v/>
      </c>
      <c r="C6" s="22">
        <f>IFERROR(B6/$H$120,"")</f>
        <v/>
      </c>
      <c r="D6" s="54">
        <f>COUNTIFS($I$20:$I$119,A6)</f>
        <v/>
      </c>
    </row>
    <row r="7">
      <c r="A7" s="14" t="inlineStr">
        <is>
          <t>Radio</t>
        </is>
      </c>
      <c r="B7" s="42">
        <f>SUMIFS($H$20:$H$119,$I$20:$I$119,A7)</f>
        <v/>
      </c>
      <c r="C7" s="22">
        <f>IFERROR(B7/$H$120,"")</f>
        <v/>
      </c>
      <c r="D7" s="54">
        <f>COUNTIFS($I$20:$I$119,A7)</f>
        <v/>
      </c>
    </row>
    <row r="8">
      <c r="A8" s="14" t="inlineStr">
        <is>
          <t>Texting and phone calls</t>
        </is>
      </c>
      <c r="B8" s="42">
        <f>SUMIFS($H$20:$H$119,$I$20:$I$119,A8)</f>
        <v/>
      </c>
      <c r="C8" s="22">
        <f>IFERROR(B8/$H$120,"")</f>
        <v/>
      </c>
      <c r="D8" s="54">
        <f>COUNTIFS($I$20:$I$119,A8)</f>
        <v/>
      </c>
    </row>
    <row r="9">
      <c r="A9" s="14" t="inlineStr">
        <is>
          <t>Email</t>
        </is>
      </c>
      <c r="B9" s="42">
        <f>SUMIFS($H$20:$H$119,$I$20:$I$119,A9)</f>
        <v/>
      </c>
      <c r="C9" s="22">
        <f>IFERROR(B9/$H$120,"")</f>
        <v/>
      </c>
      <c r="D9" s="54">
        <f>COUNTIFS($I$20:$I$119,A9)</f>
        <v/>
      </c>
    </row>
    <row r="10">
      <c r="A10" s="14" t="inlineStr">
        <is>
          <t>Mail and print</t>
        </is>
      </c>
      <c r="B10" s="42">
        <f>SUMIFS($H$20:$H$119,$I$20:$I$119,A10)</f>
        <v/>
      </c>
      <c r="C10" s="22">
        <f>IFERROR(B10/$H$120,"")</f>
        <v/>
      </c>
      <c r="D10" s="54">
        <f>COUNTIFS($I$20:$I$119,A10)</f>
        <v/>
      </c>
    </row>
    <row r="11">
      <c r="A11" s="14" t="inlineStr">
        <is>
          <t>Canvassing and field</t>
        </is>
      </c>
      <c r="B11" s="42">
        <f>SUMIFS($H$20:$H$119,$I$20:$I$119,A11)</f>
        <v/>
      </c>
      <c r="C11" s="22">
        <f>IFERROR(B11/$H$120,"")</f>
        <v/>
      </c>
      <c r="D11" s="54">
        <f>COUNTIFS($I$20:$I$119,A11)</f>
        <v/>
      </c>
    </row>
    <row r="12">
      <c r="A12" s="14" t="inlineStr">
        <is>
          <t>Television and media buys</t>
        </is>
      </c>
      <c r="B12" s="42">
        <f>SUMIFS($H$20:$H$119,$I$20:$I$119,A12)</f>
        <v/>
      </c>
      <c r="C12" s="22">
        <f>IFERROR(B12/$H$120,"")</f>
        <v/>
      </c>
      <c r="D12" s="54">
        <f>COUNTIFS($I$20:$I$119,A12)</f>
        <v/>
      </c>
    </row>
    <row r="13">
      <c r="A13" s="14" t="inlineStr">
        <is>
          <t>Production</t>
        </is>
      </c>
      <c r="B13" s="42">
        <f>SUMIFS($H$20:$H$119,$I$20:$I$119,A13)</f>
        <v/>
      </c>
      <c r="C13" s="22">
        <f>IFERROR(B13/$H$120,"")</f>
        <v/>
      </c>
      <c r="D13" s="54">
        <f>COUNTIFS($I$20:$I$119,A13)</f>
        <v/>
      </c>
    </row>
    <row r="14">
      <c r="A14" s="14" t="inlineStr">
        <is>
          <t>Data</t>
        </is>
      </c>
      <c r="B14" s="42">
        <f>SUMIFS($H$20:$H$119,$I$20:$I$119,A14)</f>
        <v/>
      </c>
      <c r="C14" s="22">
        <f>IFERROR(B14/$H$120,"")</f>
        <v/>
      </c>
      <c r="D14" s="54">
        <f>COUNTIFS($I$20:$I$119,A14)</f>
        <v/>
      </c>
    </row>
    <row r="15">
      <c r="A15" s="15" t="inlineStr">
        <is>
          <t>TOTAL</t>
        </is>
      </c>
      <c r="B15" s="17">
        <f>SUM(B6:B14)</f>
        <v/>
      </c>
      <c r="C15" s="20" t="n"/>
      <c r="D15" s="50">
        <f>SUM(D6:D14)</f>
        <v/>
      </c>
    </row>
    <row r="18" ht="18" customHeight="1">
      <c r="A18" s="3" t="inlineStr">
        <is>
          <t>EVERY ITEMIZED EXPENDITURE</t>
        </is>
      </c>
      <c r="B18" s="4" t="n"/>
      <c r="C18" s="4" t="n"/>
      <c r="D18" s="4" t="n"/>
      <c r="E18" s="4" t="n"/>
      <c r="F18" s="4" t="n"/>
      <c r="G18" s="4" t="n"/>
      <c r="H18" s="4" t="n"/>
      <c r="I18" s="4" t="n"/>
      <c r="J18" s="4" t="n"/>
    </row>
    <row r="19" ht="32" customHeight="1">
      <c r="A19" s="10" t="inlineStr">
        <is>
          <t>Committee</t>
        </is>
      </c>
      <c r="B19" s="10" t="inlineStr">
        <is>
          <t>About</t>
        </is>
      </c>
      <c r="C19" s="10" t="inlineStr">
        <is>
          <t>Stance</t>
        </is>
      </c>
      <c r="D19" s="10" t="inlineStr">
        <is>
          <t>What was bought</t>
        </is>
      </c>
      <c r="E19" s="10" t="inlineStr">
        <is>
          <t>Paid to</t>
        </is>
      </c>
      <c r="F19" s="10" t="inlineStr">
        <is>
          <t>City</t>
        </is>
      </c>
      <c r="G19" s="10" t="inlineStr">
        <is>
          <t>State</t>
        </is>
      </c>
      <c r="H19" s="10" t="inlineStr">
        <is>
          <t>Amount</t>
        </is>
      </c>
      <c r="I19" s="10" t="inlineStr">
        <is>
          <t>Category</t>
        </is>
      </c>
      <c r="J19" s="10" t="inlineStr">
        <is>
          <t>Date</t>
        </is>
      </c>
    </row>
    <row r="20">
      <c r="A20" s="14" t="inlineStr">
        <is>
          <t>Stronger Together PA</t>
        </is>
      </c>
      <c r="B20" s="14" t="inlineStr">
        <is>
          <t>Bob Brooks</t>
        </is>
      </c>
      <c r="C20" s="46" t="inlineStr">
        <is>
          <t>Supports</t>
        </is>
      </c>
      <c r="D20" s="14" t="inlineStr">
        <is>
          <t>Ad Buy</t>
        </is>
      </c>
      <c r="E20" s="14" t="inlineStr">
        <is>
          <t>Technicolor Campaigns, LLC</t>
        </is>
      </c>
      <c r="F20" s="14" t="inlineStr">
        <is>
          <t>Philadelphia</t>
        </is>
      </c>
      <c r="G20" s="14" t="inlineStr">
        <is>
          <t>PA</t>
        </is>
      </c>
      <c r="H20" s="47" t="n">
        <v>306418</v>
      </c>
      <c r="I20" s="14" t="inlineStr">
        <is>
          <t>Television and media buys</t>
        </is>
      </c>
      <c r="J20" s="14" t="inlineStr">
        <is>
          <t>2026-05-05</t>
        </is>
      </c>
    </row>
    <row r="21">
      <c r="A21" s="14" t="inlineStr">
        <is>
          <t>Stronger Together PA</t>
        </is>
      </c>
      <c r="B21" s="14" t="inlineStr">
        <is>
          <t>Bob Brooks</t>
        </is>
      </c>
      <c r="C21" s="46" t="inlineStr">
        <is>
          <t>Supports</t>
        </is>
      </c>
      <c r="D21" s="14" t="inlineStr">
        <is>
          <t>Ad Buy</t>
        </is>
      </c>
      <c r="E21" s="14" t="inlineStr">
        <is>
          <t>Technicolor Campaigns, LLC</t>
        </is>
      </c>
      <c r="F21" s="14" t="inlineStr">
        <is>
          <t>Philadelphia</t>
        </is>
      </c>
      <c r="G21" s="14" t="inlineStr">
        <is>
          <t>PA</t>
        </is>
      </c>
      <c r="H21" s="47" t="n">
        <v>272247</v>
      </c>
      <c r="I21" s="14" t="inlineStr">
        <is>
          <t>Television and media buys</t>
        </is>
      </c>
      <c r="J21" s="14" t="inlineStr">
        <is>
          <t>2026-04-01</t>
        </is>
      </c>
    </row>
    <row r="22">
      <c r="A22" s="14" t="inlineStr">
        <is>
          <t>Jobs and Democracy PAC</t>
        </is>
      </c>
      <c r="B22" s="14" t="inlineStr">
        <is>
          <t>Bob Brooks</t>
        </is>
      </c>
      <c r="C22" s="46" t="inlineStr">
        <is>
          <t>Supports</t>
        </is>
      </c>
      <c r="D22" s="14" t="inlineStr">
        <is>
          <t>Digital Buy</t>
        </is>
      </c>
      <c r="E22" s="14" t="inlineStr">
        <is>
          <t>Bryson Gillette, LLC</t>
        </is>
      </c>
      <c r="F22" s="14" t="inlineStr">
        <is>
          <t>Santa Barbara</t>
        </is>
      </c>
      <c r="G22" s="14" t="inlineStr">
        <is>
          <t>CA</t>
        </is>
      </c>
      <c r="H22" s="47" t="n">
        <v>249750</v>
      </c>
      <c r="I22" s="14" t="inlineStr">
        <is>
          <t>Digital advertising</t>
        </is>
      </c>
      <c r="J22" s="14" t="inlineStr">
        <is>
          <t>2026-05-15</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175000</v>
      </c>
      <c r="I23" s="14" t="inlineStr">
        <is>
          <t>Television and media buys</t>
        </is>
      </c>
      <c r="J23" s="14" t="inlineStr">
        <is>
          <t>2026-05-13</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154509</v>
      </c>
      <c r="I24" s="14" t="inlineStr">
        <is>
          <t>Television and media buys</t>
        </is>
      </c>
      <c r="J24" s="14" t="inlineStr">
        <is>
          <t>2026-04-23</t>
        </is>
      </c>
    </row>
    <row r="25">
      <c r="A25" s="14" t="inlineStr">
        <is>
          <t>Stronger Together PA</t>
        </is>
      </c>
      <c r="B25" s="14" t="inlineStr">
        <is>
          <t>Bob Brooks</t>
        </is>
      </c>
      <c r="C25" s="46" t="inlineStr">
        <is>
          <t>Supports</t>
        </is>
      </c>
      <c r="D25" s="14" t="inlineStr">
        <is>
          <t>Ad Buy</t>
        </is>
      </c>
      <c r="E25" s="14" t="inlineStr">
        <is>
          <t>Technicolor Campaigns, LLC</t>
        </is>
      </c>
      <c r="F25" s="14" t="inlineStr">
        <is>
          <t>Philadelphia</t>
        </is>
      </c>
      <c r="G25" s="14" t="inlineStr">
        <is>
          <t>PA</t>
        </is>
      </c>
      <c r="H25" s="47" t="n">
        <v>150000</v>
      </c>
      <c r="I25" s="14" t="inlineStr">
        <is>
          <t>Television and media buys</t>
        </is>
      </c>
      <c r="J25" s="14" t="inlineStr">
        <is>
          <t>2026-05-15</t>
        </is>
      </c>
    </row>
    <row r="26">
      <c r="A26" s="14" t="inlineStr">
        <is>
          <t>Congressional Progressive Caucus PAC</t>
        </is>
      </c>
      <c r="B26" s="14" t="inlineStr">
        <is>
          <t>Bob Brooks</t>
        </is>
      </c>
      <c r="C26" s="46" t="inlineStr">
        <is>
          <t>Supports</t>
        </is>
      </c>
      <c r="D26" s="14" t="inlineStr">
        <is>
          <t>Digital Ad Buy - Estimate</t>
        </is>
      </c>
      <c r="E26" s="14" t="inlineStr">
        <is>
          <t>Viewpoint Media LLC</t>
        </is>
      </c>
      <c r="F26" s="14" t="inlineStr">
        <is>
          <t>Berkeley</t>
        </is>
      </c>
      <c r="G26" s="14" t="inlineStr">
        <is>
          <t>CA</t>
        </is>
      </c>
      <c r="H26" s="47" t="n">
        <v>128000</v>
      </c>
      <c r="I26" s="14" t="inlineStr">
        <is>
          <t>Digital advertising</t>
        </is>
      </c>
      <c r="J26" s="14" t="inlineStr">
        <is>
          <t>2026-04-24</t>
        </is>
      </c>
    </row>
    <row r="27">
      <c r="A27" s="14" t="inlineStr">
        <is>
          <t>Stronger Together PA</t>
        </is>
      </c>
      <c r="B27" s="14" t="inlineStr">
        <is>
          <t>Bob Brooks</t>
        </is>
      </c>
      <c r="C27" s="46" t="inlineStr">
        <is>
          <t>Supports</t>
        </is>
      </c>
      <c r="D27" s="14" t="inlineStr">
        <is>
          <t>Ad Buy</t>
        </is>
      </c>
      <c r="E27" s="14" t="inlineStr">
        <is>
          <t>Technicolor Campaigns, LLC</t>
        </is>
      </c>
      <c r="F27" s="14" t="inlineStr">
        <is>
          <t>Philadelphia</t>
        </is>
      </c>
      <c r="G27" s="14" t="inlineStr">
        <is>
          <t>PA</t>
        </is>
      </c>
      <c r="H27" s="47" t="n">
        <v>110000</v>
      </c>
      <c r="I27" s="14" t="inlineStr">
        <is>
          <t>Television and media buys</t>
        </is>
      </c>
      <c r="J27" s="14" t="inlineStr">
        <is>
          <t>2026-05-15</t>
        </is>
      </c>
    </row>
    <row r="28">
      <c r="A28" s="14" t="inlineStr">
        <is>
          <t>Lead Left PAC</t>
        </is>
      </c>
      <c r="B28" s="14" t="inlineStr">
        <is>
          <t>Bob Brooks</t>
        </is>
      </c>
      <c r="C28" s="46" t="inlineStr">
        <is>
          <t>Opposes</t>
        </is>
      </c>
      <c r="D28" s="14" t="inlineStr">
        <is>
          <t>Media Placement / Media Production</t>
        </is>
      </c>
      <c r="E28" s="14" t="inlineStr">
        <is>
          <t>Otg Media LLC</t>
        </is>
      </c>
      <c r="F28" s="14" t="inlineStr">
        <is>
          <t>Richmond</t>
        </is>
      </c>
      <c r="G28" s="14" t="inlineStr">
        <is>
          <t>VA</t>
        </is>
      </c>
      <c r="H28" s="47" t="n">
        <v>106756.66</v>
      </c>
      <c r="I28" s="14" t="inlineStr">
        <is>
          <t>Television and media buys</t>
        </is>
      </c>
      <c r="J28" s="14" t="inlineStr">
        <is>
          <t>2026-05-05</t>
        </is>
      </c>
    </row>
    <row r="29">
      <c r="A29" s="14" t="inlineStr">
        <is>
          <t>Lead Left PAC</t>
        </is>
      </c>
      <c r="B29" s="14" t="inlineStr">
        <is>
          <t>Bob Brooks</t>
        </is>
      </c>
      <c r="C29" s="46" t="inlineStr">
        <is>
          <t>Opposes</t>
        </is>
      </c>
      <c r="D29" s="14" t="inlineStr">
        <is>
          <t>Media Placement</t>
        </is>
      </c>
      <c r="E29" s="14" t="inlineStr">
        <is>
          <t>Otg Media LLC</t>
        </is>
      </c>
      <c r="F29" s="14" t="inlineStr">
        <is>
          <t>Richmond</t>
        </is>
      </c>
      <c r="G29" s="14" t="inlineStr">
        <is>
          <t>VA</t>
        </is>
      </c>
      <c r="H29" s="47" t="n">
        <v>102333.33</v>
      </c>
      <c r="I29" s="14" t="inlineStr">
        <is>
          <t>Television and media buys</t>
        </is>
      </c>
      <c r="J29" s="14" t="inlineStr">
        <is>
          <t>2026-05-06</t>
        </is>
      </c>
    </row>
    <row r="30">
      <c r="A30" s="14" t="inlineStr">
        <is>
          <t>Medicare for All</t>
        </is>
      </c>
      <c r="B30" s="14" t="inlineStr">
        <is>
          <t>Bob Brooks</t>
        </is>
      </c>
      <c r="C30" s="46" t="inlineStr">
        <is>
          <t>Supports</t>
        </is>
      </c>
      <c r="D30" s="14" t="inlineStr">
        <is>
          <t>Digital Advertising Buy</t>
        </is>
      </c>
      <c r="E30" s="14" t="inlineStr">
        <is>
          <t>Viewpoint Media LLC</t>
        </is>
      </c>
      <c r="F30" s="14" t="inlineStr">
        <is>
          <t>Berkeley</t>
        </is>
      </c>
      <c r="G30" s="14" t="inlineStr">
        <is>
          <t>CA</t>
        </is>
      </c>
      <c r="H30" s="47" t="n">
        <v>95000</v>
      </c>
      <c r="I30" s="14" t="inlineStr">
        <is>
          <t>Digital advertising</t>
        </is>
      </c>
      <c r="J30" s="14" t="inlineStr">
        <is>
          <t>2026-05-12</t>
        </is>
      </c>
    </row>
    <row r="31">
      <c r="A31" s="14" t="inlineStr">
        <is>
          <t>Stronger Together PA</t>
        </is>
      </c>
      <c r="B31" s="14" t="inlineStr">
        <is>
          <t>Bob Brooks</t>
        </is>
      </c>
      <c r="C31" s="46" t="inlineStr">
        <is>
          <t>Supports</t>
        </is>
      </c>
      <c r="D31" s="14" t="inlineStr">
        <is>
          <t>Ad Buy</t>
        </is>
      </c>
      <c r="E31" s="14" t="inlineStr">
        <is>
          <t>Technicolor Campaigns, LLC</t>
        </is>
      </c>
      <c r="F31" s="14" t="inlineStr">
        <is>
          <t>Philadelphia</t>
        </is>
      </c>
      <c r="G31" s="14" t="inlineStr">
        <is>
          <t>PA</t>
        </is>
      </c>
      <c r="H31" s="47" t="n">
        <v>90000</v>
      </c>
      <c r="I31" s="14" t="inlineStr">
        <is>
          <t>Television and media buys</t>
        </is>
      </c>
      <c r="J31" s="14" t="inlineStr">
        <is>
          <t>2026-05-15</t>
        </is>
      </c>
    </row>
    <row r="32">
      <c r="A32" s="14" t="inlineStr">
        <is>
          <t>Stronger Together PA</t>
        </is>
      </c>
      <c r="B32" s="14" t="inlineStr">
        <is>
          <t>Bob Brooks</t>
        </is>
      </c>
      <c r="C32" s="46" t="inlineStr">
        <is>
          <t>Supports</t>
        </is>
      </c>
      <c r="D32" s="14" t="inlineStr">
        <is>
          <t>Ad Buy &amp; Ad Production</t>
        </is>
      </c>
      <c r="E32" s="14" t="inlineStr">
        <is>
          <t>Technicolor Campaigns, LLC</t>
        </is>
      </c>
      <c r="F32" s="14" t="inlineStr">
        <is>
          <t>Philadelphia</t>
        </is>
      </c>
      <c r="G32" s="14" t="inlineStr">
        <is>
          <t>PA</t>
        </is>
      </c>
      <c r="H32" s="47" t="n">
        <v>83120</v>
      </c>
      <c r="I32" s="14" t="inlineStr">
        <is>
          <t>Television and media buys</t>
        </is>
      </c>
      <c r="J32" s="14" t="inlineStr">
        <is>
          <t>2026-03-24</t>
        </is>
      </c>
    </row>
    <row r="33">
      <c r="A33" s="14" t="inlineStr">
        <is>
          <t>Stronger Together PA</t>
        </is>
      </c>
      <c r="B33" s="14" t="inlineStr">
        <is>
          <t>Bob Brooks</t>
        </is>
      </c>
      <c r="C33" s="46" t="inlineStr">
        <is>
          <t>Supports</t>
        </is>
      </c>
      <c r="D33" s="14" t="inlineStr">
        <is>
          <t>Ad Buy</t>
        </is>
      </c>
      <c r="E33" s="14" t="inlineStr">
        <is>
          <t>Technicolor Campaigns, LLC</t>
        </is>
      </c>
      <c r="F33" s="14" t="inlineStr">
        <is>
          <t>Philadelphia</t>
        </is>
      </c>
      <c r="G33" s="14" t="inlineStr">
        <is>
          <t>PA</t>
        </is>
      </c>
      <c r="H33" s="47" t="n">
        <v>80000</v>
      </c>
      <c r="I33" s="14" t="inlineStr">
        <is>
          <t>Television and media buys</t>
        </is>
      </c>
      <c r="J33" s="14" t="inlineStr">
        <is>
          <t>2026-05-12</t>
        </is>
      </c>
    </row>
    <row r="34">
      <c r="A34" s="14" t="inlineStr">
        <is>
          <t>Lead Left PAC</t>
        </is>
      </c>
      <c r="B34" s="14" t="inlineStr">
        <is>
          <t>Bob Brooks</t>
        </is>
      </c>
      <c r="C34" s="46" t="inlineStr">
        <is>
          <t>Opposes</t>
        </is>
      </c>
      <c r="D34" s="14" t="inlineStr">
        <is>
          <t>Media Placement / Media Production</t>
        </is>
      </c>
      <c r="E34" s="14" t="inlineStr">
        <is>
          <t>Piruzi LLC</t>
        </is>
      </c>
      <c r="F34" s="14" t="inlineStr">
        <is>
          <t>Pensacola</t>
        </is>
      </c>
      <c r="G34" s="14" t="inlineStr">
        <is>
          <t>FL</t>
        </is>
      </c>
      <c r="H34" s="47" t="n">
        <v>66666.67</v>
      </c>
      <c r="I34" s="14" t="inlineStr">
        <is>
          <t>Television and media buys</t>
        </is>
      </c>
      <c r="J34" s="14" t="inlineStr">
        <is>
          <t>2026-05-06</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52120</v>
      </c>
      <c r="I35" s="14" t="inlineStr">
        <is>
          <t>Television and media buys</t>
        </is>
      </c>
      <c r="J35" s="14" t="inlineStr">
        <is>
          <t>2026-03-27</t>
        </is>
      </c>
    </row>
    <row r="36">
      <c r="A36" s="14" t="inlineStr">
        <is>
          <t>Stronger Together PA</t>
        </is>
      </c>
      <c r="B36" s="14" t="inlineStr">
        <is>
          <t>Bob Brooks</t>
        </is>
      </c>
      <c r="C36" s="46" t="inlineStr">
        <is>
          <t>Supports</t>
        </is>
      </c>
      <c r="D36" s="14" t="inlineStr">
        <is>
          <t>Ad Buy</t>
        </is>
      </c>
      <c r="E36" s="14" t="inlineStr">
        <is>
          <t>Technicolor Campaigns, LLC</t>
        </is>
      </c>
      <c r="F36" s="14" t="inlineStr">
        <is>
          <t>Philadelphia</t>
        </is>
      </c>
      <c r="G36" s="14" t="inlineStr">
        <is>
          <t>PA</t>
        </is>
      </c>
      <c r="H36" s="47" t="n">
        <v>50500</v>
      </c>
      <c r="I36" s="14" t="inlineStr">
        <is>
          <t>Television and media buys</t>
        </is>
      </c>
      <c r="J36" s="14" t="inlineStr">
        <is>
          <t>2026-05-07</t>
        </is>
      </c>
    </row>
    <row r="37">
      <c r="A37" s="14" t="inlineStr">
        <is>
          <t>Stronger Together PA</t>
        </is>
      </c>
      <c r="B37" s="14" t="inlineStr">
        <is>
          <t>Bob Brooks</t>
        </is>
      </c>
      <c r="C37" s="46" t="inlineStr">
        <is>
          <t>Supports</t>
        </is>
      </c>
      <c r="D37" s="14" t="inlineStr">
        <is>
          <t>Ad Buy</t>
        </is>
      </c>
      <c r="E37" s="14" t="inlineStr">
        <is>
          <t>Technicolor Campaigns, LLC</t>
        </is>
      </c>
      <c r="F37" s="14" t="inlineStr">
        <is>
          <t>Philadelphia</t>
        </is>
      </c>
      <c r="G37" s="14" t="inlineStr">
        <is>
          <t>PA</t>
        </is>
      </c>
      <c r="H37" s="47" t="n">
        <v>46000</v>
      </c>
      <c r="I37" s="14" t="inlineStr">
        <is>
          <t>Television and media buys</t>
        </is>
      </c>
      <c r="J37" s="14" t="inlineStr">
        <is>
          <t>2026-04-16</t>
        </is>
      </c>
    </row>
    <row r="38">
      <c r="A38" s="14" t="inlineStr">
        <is>
          <t>Stronger Together PA</t>
        </is>
      </c>
      <c r="B38" s="14" t="inlineStr">
        <is>
          <t>Bob Brooks</t>
        </is>
      </c>
      <c r="C38" s="46" t="inlineStr">
        <is>
          <t>Supports</t>
        </is>
      </c>
      <c r="D38" s="14" t="inlineStr">
        <is>
          <t>Ad Buy</t>
        </is>
      </c>
      <c r="E38" s="14" t="inlineStr">
        <is>
          <t>Technicolor Campaigns, LLC</t>
        </is>
      </c>
      <c r="F38" s="14" t="inlineStr">
        <is>
          <t>Philadelphia</t>
        </is>
      </c>
      <c r="G38" s="14" t="inlineStr">
        <is>
          <t>PA</t>
        </is>
      </c>
      <c r="H38" s="47" t="n">
        <v>45110</v>
      </c>
      <c r="I38" s="14" t="inlineStr">
        <is>
          <t>Television and media buys</t>
        </is>
      </c>
      <c r="J38" s="14" t="inlineStr">
        <is>
          <t>2026-03-30</t>
        </is>
      </c>
    </row>
    <row r="39">
      <c r="A39" s="14" t="inlineStr">
        <is>
          <t>Working Families Party PAC</t>
        </is>
      </c>
      <c r="B39" s="14" t="inlineStr">
        <is>
          <t>Bob Brooks</t>
        </is>
      </c>
      <c r="C39" s="46" t="inlineStr">
        <is>
          <t>Supports</t>
        </is>
      </c>
      <c r="D39" s="14" t="inlineStr">
        <is>
          <t>Direct Mail Fec-1979274</t>
        </is>
      </c>
      <c r="E39" s="14" t="inlineStr">
        <is>
          <t>Person2person Solutions</t>
        </is>
      </c>
      <c r="F39" s="14" t="inlineStr">
        <is>
          <t>Brooklyn</t>
        </is>
      </c>
      <c r="G39" s="14" t="inlineStr">
        <is>
          <t>NY</t>
        </is>
      </c>
      <c r="H39" s="47" t="n">
        <v>32824.6</v>
      </c>
      <c r="I39" s="14" t="inlineStr">
        <is>
          <t>Mail and print</t>
        </is>
      </c>
      <c r="J39" s="14" t="inlineStr">
        <is>
          <t>2026-08-10</t>
        </is>
      </c>
    </row>
    <row r="40">
      <c r="A40" s="14" t="inlineStr">
        <is>
          <t>Stronger Together PA</t>
        </is>
      </c>
      <c r="B40" s="14" t="inlineStr">
        <is>
          <t>Bob Brooks</t>
        </is>
      </c>
      <c r="C40" s="46" t="inlineStr">
        <is>
          <t>Supports</t>
        </is>
      </c>
      <c r="D40" s="14" t="inlineStr">
        <is>
          <t>Ad Buy</t>
        </is>
      </c>
      <c r="E40" s="14" t="inlineStr">
        <is>
          <t>Technicolor Campaigns, LLC</t>
        </is>
      </c>
      <c r="F40" s="14" t="inlineStr">
        <is>
          <t>Philadelphia</t>
        </is>
      </c>
      <c r="G40" s="14" t="inlineStr">
        <is>
          <t>PA</t>
        </is>
      </c>
      <c r="H40" s="47" t="n">
        <v>28000</v>
      </c>
      <c r="I40" s="14" t="inlineStr">
        <is>
          <t>Television and media buys</t>
        </is>
      </c>
      <c r="J40" s="14" t="inlineStr">
        <is>
          <t>2026-04-09</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28000</v>
      </c>
      <c r="I41" s="14" t="inlineStr">
        <is>
          <t>Television and media buys</t>
        </is>
      </c>
      <c r="J41" s="14" t="inlineStr">
        <is>
          <t>2026-04-02</t>
        </is>
      </c>
    </row>
    <row r="42">
      <c r="A42" s="14" t="inlineStr">
        <is>
          <t>Stronger Together PA</t>
        </is>
      </c>
      <c r="B42" s="14" t="inlineStr">
        <is>
          <t>Bob Brooks</t>
        </is>
      </c>
      <c r="C42" s="46" t="inlineStr">
        <is>
          <t>Supports</t>
        </is>
      </c>
      <c r="D42" s="14" t="inlineStr">
        <is>
          <t>Ad Buy</t>
        </is>
      </c>
      <c r="E42" s="14" t="inlineStr">
        <is>
          <t>Technicolor Campaigns, LLC</t>
        </is>
      </c>
      <c r="F42" s="14" t="inlineStr">
        <is>
          <t>Philadelphia</t>
        </is>
      </c>
      <c r="G42" s="14" t="inlineStr">
        <is>
          <t>PA</t>
        </is>
      </c>
      <c r="H42" s="47" t="n">
        <v>25500</v>
      </c>
      <c r="I42" s="14" t="inlineStr">
        <is>
          <t>Television and media buys</t>
        </is>
      </c>
      <c r="J42" s="14" t="inlineStr">
        <is>
          <t>2026-05-07</t>
        </is>
      </c>
    </row>
    <row r="43">
      <c r="A43" s="14" t="inlineStr">
        <is>
          <t>DLP PAC</t>
        </is>
      </c>
      <c r="B43" s="14" t="inlineStr">
        <is>
          <t>Bob Brooks</t>
        </is>
      </c>
      <c r="C43" s="46" t="inlineStr">
        <is>
          <t>Supports</t>
        </is>
      </c>
      <c r="D43" s="14" t="inlineStr">
        <is>
          <t>Printing and Postage</t>
        </is>
      </c>
      <c r="E43" s="14" t="inlineStr">
        <is>
          <t>Agmv Campaigns LLC</t>
        </is>
      </c>
      <c r="F43" s="14" t="inlineStr">
        <is>
          <t>Dover</t>
        </is>
      </c>
      <c r="G43" s="14" t="inlineStr">
        <is>
          <t>DE</t>
        </is>
      </c>
      <c r="H43" s="47" t="n">
        <v>25226.25</v>
      </c>
      <c r="I43" s="14" t="inlineStr">
        <is>
          <t>Mail and print</t>
        </is>
      </c>
      <c r="J43" s="14" t="inlineStr">
        <is>
          <t>2026-04-01</t>
        </is>
      </c>
    </row>
    <row r="44">
      <c r="A44" s="14" t="inlineStr">
        <is>
          <t>Stronger Together PA</t>
        </is>
      </c>
      <c r="B44" s="14" t="inlineStr">
        <is>
          <t>Bob Brooks</t>
        </is>
      </c>
      <c r="C44" s="46" t="inlineStr">
        <is>
          <t>Supports</t>
        </is>
      </c>
      <c r="D44" s="14" t="inlineStr">
        <is>
          <t>Texting</t>
        </is>
      </c>
      <c r="E44" s="14" t="inlineStr">
        <is>
          <t>Technicolor Campaigns, LLC</t>
        </is>
      </c>
      <c r="F44" s="14" t="inlineStr">
        <is>
          <t>Philadelphia</t>
        </is>
      </c>
      <c r="G44" s="14" t="inlineStr">
        <is>
          <t>PA</t>
        </is>
      </c>
      <c r="H44" s="47" t="n">
        <v>25000</v>
      </c>
      <c r="I44" s="14" t="inlineStr">
        <is>
          <t>Texting and phone calls</t>
        </is>
      </c>
      <c r="J44" s="14" t="inlineStr">
        <is>
          <t>2026-05-15</t>
        </is>
      </c>
    </row>
    <row r="45">
      <c r="A45" s="14" t="inlineStr">
        <is>
          <t>Stronger Together PA</t>
        </is>
      </c>
      <c r="B45" s="14" t="inlineStr">
        <is>
          <t>Bob Brooks</t>
        </is>
      </c>
      <c r="C45" s="46" t="inlineStr">
        <is>
          <t>Supports</t>
        </is>
      </c>
      <c r="D45" s="14" t="inlineStr">
        <is>
          <t>Ad Production</t>
        </is>
      </c>
      <c r="E45" s="14" t="inlineStr">
        <is>
          <t>Technicolor Campaigns, LLC</t>
        </is>
      </c>
      <c r="F45" s="14" t="inlineStr">
        <is>
          <t>Philadelphia</t>
        </is>
      </c>
      <c r="G45" s="14" t="inlineStr">
        <is>
          <t>PA</t>
        </is>
      </c>
      <c r="H45" s="47" t="n">
        <v>25000</v>
      </c>
      <c r="I45" s="14" t="inlineStr">
        <is>
          <t>Production</t>
        </is>
      </c>
      <c r="J45" s="14" t="inlineStr">
        <is>
          <t>2026-04-16</t>
        </is>
      </c>
    </row>
    <row r="46">
      <c r="A46" s="14" t="inlineStr">
        <is>
          <t>DLP PAC</t>
        </is>
      </c>
      <c r="B46" s="14" t="inlineStr">
        <is>
          <t>Bob Brooks</t>
        </is>
      </c>
      <c r="C46" s="46" t="inlineStr">
        <is>
          <t>Supports</t>
        </is>
      </c>
      <c r="D46" s="14" t="inlineStr">
        <is>
          <t>Printing and Postage</t>
        </is>
      </c>
      <c r="E46" s="14" t="inlineStr">
        <is>
          <t>Agmv Campaigns LLC</t>
        </is>
      </c>
      <c r="F46" s="14" t="inlineStr">
        <is>
          <t>Dover</t>
        </is>
      </c>
      <c r="G46" s="14" t="inlineStr">
        <is>
          <t>DE</t>
        </is>
      </c>
      <c r="H46" s="47" t="n">
        <v>23584.25</v>
      </c>
      <c r="I46" s="14" t="inlineStr">
        <is>
          <t>Mail and print</t>
        </is>
      </c>
      <c r="J46" s="14" t="inlineStr">
        <is>
          <t>2026-04-01</t>
        </is>
      </c>
    </row>
    <row r="47">
      <c r="A47" s="14" t="inlineStr">
        <is>
          <t>Stronger Together PA</t>
        </is>
      </c>
      <c r="B47" s="14" t="inlineStr">
        <is>
          <t>Bob Brooks</t>
        </is>
      </c>
      <c r="C47" s="46" t="inlineStr">
        <is>
          <t>Supports</t>
        </is>
      </c>
      <c r="D47" s="14" t="inlineStr">
        <is>
          <t>Texting</t>
        </is>
      </c>
      <c r="E47" s="14" t="inlineStr">
        <is>
          <t>Technicolor Campaigns, LLC</t>
        </is>
      </c>
      <c r="F47" s="14" t="inlineStr">
        <is>
          <t>Philadelphia</t>
        </is>
      </c>
      <c r="G47" s="14" t="inlineStr">
        <is>
          <t>PA</t>
        </is>
      </c>
      <c r="H47" s="47" t="n">
        <v>21000</v>
      </c>
      <c r="I47" s="14" t="inlineStr">
        <is>
          <t>Texting and phone calls</t>
        </is>
      </c>
      <c r="J47" s="14" t="inlineStr">
        <is>
          <t>2026-05-13</t>
        </is>
      </c>
    </row>
    <row r="48">
      <c r="A48" s="14" t="inlineStr">
        <is>
          <t>DLP PAC</t>
        </is>
      </c>
      <c r="B48" s="14" t="inlineStr">
        <is>
          <t>Bob Brooks</t>
        </is>
      </c>
      <c r="C48" s="46" t="inlineStr">
        <is>
          <t>Supports</t>
        </is>
      </c>
      <c r="D48" s="14" t="inlineStr">
        <is>
          <t>Printing and Postage</t>
        </is>
      </c>
      <c r="E48" s="14" t="inlineStr">
        <is>
          <t>Agmv Campaigns LLC</t>
        </is>
      </c>
      <c r="F48" s="14" t="inlineStr">
        <is>
          <t>Dover</t>
        </is>
      </c>
      <c r="G48" s="14" t="inlineStr">
        <is>
          <t>DE</t>
        </is>
      </c>
      <c r="H48" s="47" t="n">
        <v>19755.5</v>
      </c>
      <c r="I48" s="14" t="inlineStr">
        <is>
          <t>Mail and print</t>
        </is>
      </c>
      <c r="J48" s="14" t="inlineStr">
        <is>
          <t>2026-04-30</t>
        </is>
      </c>
    </row>
    <row r="49">
      <c r="A49" s="14" t="inlineStr">
        <is>
          <t>DLP PAC</t>
        </is>
      </c>
      <c r="B49" s="14" t="inlineStr">
        <is>
          <t>Bob Brooks</t>
        </is>
      </c>
      <c r="C49" s="46" t="inlineStr">
        <is>
          <t>Supports</t>
        </is>
      </c>
      <c r="D49" s="14" t="inlineStr">
        <is>
          <t>Printing and Postage</t>
        </is>
      </c>
      <c r="E49" s="14" t="inlineStr">
        <is>
          <t>Agmv Campaigns LLC</t>
        </is>
      </c>
      <c r="F49" s="14" t="inlineStr">
        <is>
          <t>Dover</t>
        </is>
      </c>
      <c r="G49" s="14" t="inlineStr">
        <is>
          <t>DE</t>
        </is>
      </c>
      <c r="H49" s="47" t="n">
        <v>19755.5</v>
      </c>
      <c r="I49" s="14" t="inlineStr">
        <is>
          <t>Mail and print</t>
        </is>
      </c>
      <c r="J49" s="14" t="inlineStr">
        <is>
          <t>2026-04-22</t>
        </is>
      </c>
    </row>
    <row r="50">
      <c r="A50" s="14" t="inlineStr">
        <is>
          <t>Congressional Progressive Caucus PAC</t>
        </is>
      </c>
      <c r="B50" s="14" t="inlineStr">
        <is>
          <t>Bob Brooks</t>
        </is>
      </c>
      <c r="C50" s="46" t="inlineStr">
        <is>
          <t>Supports</t>
        </is>
      </c>
      <c r="D50" s="14" t="inlineStr">
        <is>
          <t>Digital Ad Production - Actual Amount of Estimate Previously Reported 04/29/2026</t>
        </is>
      </c>
      <c r="E50" s="14" t="inlineStr">
        <is>
          <t>Silversmith Strategies LLC</t>
        </is>
      </c>
      <c r="F50" s="14" t="inlineStr">
        <is>
          <t>Chicago</t>
        </is>
      </c>
      <c r="G50" s="14" t="inlineStr">
        <is>
          <t>IL</t>
        </is>
      </c>
      <c r="H50" s="47" t="n">
        <v>12300</v>
      </c>
      <c r="I50" s="14" t="inlineStr">
        <is>
          <t>Digital advertising</t>
        </is>
      </c>
      <c r="J50" s="14" t="inlineStr">
        <is>
          <t>2026-04-30</t>
        </is>
      </c>
    </row>
    <row r="51">
      <c r="A51" s="14" t="inlineStr">
        <is>
          <t>Make the Road Action Political Committee</t>
        </is>
      </c>
      <c r="B51" s="14" t="inlineStr">
        <is>
          <t>Bob Brooks</t>
        </is>
      </c>
      <c r="C51" s="46" t="inlineStr">
        <is>
          <t>Supports</t>
        </is>
      </c>
      <c r="D51" s="14" t="inlineStr">
        <is>
          <t>Canvassing Services (corresponding Memo on 24/48 Can Not Be Deleted in Fecfile)</t>
        </is>
      </c>
      <c r="E51" s="14" t="inlineStr">
        <is>
          <t>Make the Road Action Inc.</t>
        </is>
      </c>
      <c r="F51" s="14" t="inlineStr">
        <is>
          <t>Brooklyn</t>
        </is>
      </c>
      <c r="G51" s="14" t="inlineStr">
        <is>
          <t>NY</t>
        </is>
      </c>
      <c r="H51" s="47" t="n">
        <v>12062</v>
      </c>
      <c r="I51" s="14" t="inlineStr">
        <is>
          <t>Canvassing and field</t>
        </is>
      </c>
      <c r="J51" s="14" t="inlineStr">
        <is>
          <t>2026-06-01</t>
        </is>
      </c>
    </row>
    <row r="52">
      <c r="A52" s="14" t="inlineStr">
        <is>
          <t>Blue Majority Project</t>
        </is>
      </c>
      <c r="B52" s="14" t="inlineStr">
        <is>
          <t>Bob Brooks</t>
        </is>
      </c>
      <c r="C52" s="46" t="inlineStr">
        <is>
          <t>Supports</t>
        </is>
      </c>
      <c r="D52" s="14" t="inlineStr">
        <is>
          <t>Non-contribution Accout: Text Messages</t>
        </is>
      </c>
      <c r="E52" s="14" t="inlineStr">
        <is>
          <t>Activate Change LLC</t>
        </is>
      </c>
      <c r="F52" s="14" t="inlineStr">
        <is>
          <t>Dover</t>
        </is>
      </c>
      <c r="G52" s="14" t="inlineStr">
        <is>
          <t>DE</t>
        </is>
      </c>
      <c r="H52" s="47" t="n">
        <v>11510</v>
      </c>
      <c r="I52" s="14" t="inlineStr">
        <is>
          <t>Texting and phone calls</t>
        </is>
      </c>
      <c r="J52" s="14" t="inlineStr">
        <is>
          <t>2025-12-21</t>
        </is>
      </c>
    </row>
    <row r="53">
      <c r="A53" s="14" t="inlineStr">
        <is>
          <t>Stronger Together PA</t>
        </is>
      </c>
      <c r="B53" s="14" t="inlineStr">
        <is>
          <t>Bob Brooks</t>
        </is>
      </c>
      <c r="C53" s="46" t="inlineStr">
        <is>
          <t>Supports</t>
        </is>
      </c>
      <c r="D53" s="14" t="inlineStr">
        <is>
          <t>Ad Buy</t>
        </is>
      </c>
      <c r="E53" s="14" t="inlineStr">
        <is>
          <t>Technicolor Campaigns, LLC</t>
        </is>
      </c>
      <c r="F53" s="14" t="inlineStr">
        <is>
          <t>Philadelphia</t>
        </is>
      </c>
      <c r="G53" s="14" t="inlineStr">
        <is>
          <t>PA</t>
        </is>
      </c>
      <c r="H53" s="47" t="n">
        <v>10000</v>
      </c>
      <c r="I53" s="14" t="inlineStr">
        <is>
          <t>Television and media buys</t>
        </is>
      </c>
      <c r="J53" s="14" t="inlineStr">
        <is>
          <t>2026-05-08</t>
        </is>
      </c>
    </row>
    <row r="54">
      <c r="A54" s="14" t="inlineStr">
        <is>
          <t>Lead Left PAC</t>
        </is>
      </c>
      <c r="B54" s="14" t="inlineStr">
        <is>
          <t>Bob Brooks</t>
        </is>
      </c>
      <c r="C54" s="46" t="inlineStr">
        <is>
          <t>Opposes</t>
        </is>
      </c>
      <c r="D54" s="14" t="inlineStr">
        <is>
          <t>Printing / Postage</t>
        </is>
      </c>
      <c r="E54" s="14" t="inlineStr">
        <is>
          <t>Piruzi LLC</t>
        </is>
      </c>
      <c r="F54" s="14" t="inlineStr">
        <is>
          <t>Pensacola</t>
        </is>
      </c>
      <c r="G54" s="14" t="inlineStr">
        <is>
          <t>FL</t>
        </is>
      </c>
      <c r="H54" s="47" t="n">
        <v>9161.42</v>
      </c>
      <c r="I54" s="14" t="inlineStr">
        <is>
          <t>Mail and print</t>
        </is>
      </c>
      <c r="J54" s="14" t="inlineStr">
        <is>
          <t>2026-05-18</t>
        </is>
      </c>
    </row>
    <row r="55">
      <c r="A55" s="14" t="inlineStr">
        <is>
          <t>Lead Left PAC</t>
        </is>
      </c>
      <c r="B55" s="14" t="inlineStr">
        <is>
          <t>Bob Brooks</t>
        </is>
      </c>
      <c r="C55" s="46" t="inlineStr">
        <is>
          <t>Opposes</t>
        </is>
      </c>
      <c r="D55" s="14" t="inlineStr">
        <is>
          <t>Printing / Postage</t>
        </is>
      </c>
      <c r="E55" s="14" t="inlineStr">
        <is>
          <t>Piruzi LLC</t>
        </is>
      </c>
      <c r="F55" s="14" t="inlineStr">
        <is>
          <t>Pensacola</t>
        </is>
      </c>
      <c r="G55" s="14" t="inlineStr">
        <is>
          <t>FL</t>
        </is>
      </c>
      <c r="H55" s="47" t="n">
        <v>9154.690000000001</v>
      </c>
      <c r="I55" s="14" t="inlineStr">
        <is>
          <t>Mail and print</t>
        </is>
      </c>
      <c r="J55" s="14" t="inlineStr">
        <is>
          <t>2026-05-07</t>
        </is>
      </c>
    </row>
    <row r="56">
      <c r="A56" s="14" t="inlineStr">
        <is>
          <t>Lead Left PAC</t>
        </is>
      </c>
      <c r="B56" s="14" t="inlineStr">
        <is>
          <t>Bob Brooks</t>
        </is>
      </c>
      <c r="C56" s="46" t="inlineStr">
        <is>
          <t>Opposes</t>
        </is>
      </c>
      <c r="D56" s="14" t="inlineStr">
        <is>
          <t>Printing / Postage</t>
        </is>
      </c>
      <c r="E56" s="14" t="inlineStr">
        <is>
          <t>Piruzi LLC</t>
        </is>
      </c>
      <c r="F56" s="14" t="inlineStr">
        <is>
          <t>Pensacola</t>
        </is>
      </c>
      <c r="G56" s="14" t="inlineStr">
        <is>
          <t>FL</t>
        </is>
      </c>
      <c r="H56" s="47" t="n">
        <v>9153.559999999999</v>
      </c>
      <c r="I56" s="14" t="inlineStr">
        <is>
          <t>Mail and print</t>
        </is>
      </c>
      <c r="J56" s="14" t="inlineStr">
        <is>
          <t>2026-05-07</t>
        </is>
      </c>
    </row>
    <row r="57">
      <c r="A57" s="14" t="inlineStr">
        <is>
          <t>Lead Left PAC</t>
        </is>
      </c>
      <c r="B57" s="14" t="inlineStr">
        <is>
          <t>Bob Brooks</t>
        </is>
      </c>
      <c r="C57" s="46" t="inlineStr">
        <is>
          <t>Opposes</t>
        </is>
      </c>
      <c r="D57" s="14" t="inlineStr">
        <is>
          <t>Printing / Postage</t>
        </is>
      </c>
      <c r="E57" s="14" t="inlineStr">
        <is>
          <t>Piruzi LLC</t>
        </is>
      </c>
      <c r="F57" s="14" t="inlineStr">
        <is>
          <t>Pensacola</t>
        </is>
      </c>
      <c r="G57" s="14" t="inlineStr">
        <is>
          <t>FL</t>
        </is>
      </c>
      <c r="H57" s="47" t="n">
        <v>9145.43</v>
      </c>
      <c r="I57" s="14" t="inlineStr">
        <is>
          <t>Mail and print</t>
        </is>
      </c>
      <c r="J57" s="14" t="inlineStr">
        <is>
          <t>2026-05-13</t>
        </is>
      </c>
    </row>
    <row r="58">
      <c r="A58" s="14" t="inlineStr">
        <is>
          <t>Blue Battleground Project</t>
        </is>
      </c>
      <c r="B58" s="14" t="inlineStr">
        <is>
          <t>Bob Brooks</t>
        </is>
      </c>
      <c r="C58" s="46" t="inlineStr">
        <is>
          <t>Supports</t>
        </is>
      </c>
      <c r="D58" s="14" t="inlineStr">
        <is>
          <t>Text Messages</t>
        </is>
      </c>
      <c r="E58" s="14" t="inlineStr">
        <is>
          <t>Activate Change LLC</t>
        </is>
      </c>
      <c r="F58" s="14" t="inlineStr">
        <is>
          <t>Dover</t>
        </is>
      </c>
      <c r="G58" s="14" t="inlineStr">
        <is>
          <t>DE</t>
        </is>
      </c>
      <c r="H58" s="47" t="n">
        <v>9116.67</v>
      </c>
      <c r="I58" s="14" t="inlineStr">
        <is>
          <t>Texting and phone calls</t>
        </is>
      </c>
      <c r="J58" s="14" t="inlineStr">
        <is>
          <t>2026-02-24</t>
        </is>
      </c>
    </row>
    <row r="59">
      <c r="A59" s="14" t="inlineStr">
        <is>
          <t>Make the Road Action Political Committee</t>
        </is>
      </c>
      <c r="B59" s="14" t="inlineStr">
        <is>
          <t>Bob Brooks</t>
        </is>
      </c>
      <c r="C59" s="46" t="inlineStr">
        <is>
          <t>Supports</t>
        </is>
      </c>
      <c r="D59" s="14" t="inlineStr">
        <is>
          <t>Canvassing Services (corresponding Memo on 24/48 Can Not Be Deleted in Fecfile)</t>
        </is>
      </c>
      <c r="E59" s="14" t="inlineStr">
        <is>
          <t>Make the Road Action Inc.</t>
        </is>
      </c>
      <c r="F59" s="14" t="inlineStr">
        <is>
          <t>Brooklyn</t>
        </is>
      </c>
      <c r="G59" s="14" t="inlineStr">
        <is>
          <t>NY</t>
        </is>
      </c>
      <c r="H59" s="47" t="n">
        <v>6405</v>
      </c>
      <c r="I59" s="14" t="inlineStr">
        <is>
          <t>Canvassing and field</t>
        </is>
      </c>
      <c r="J59" s="14" t="inlineStr">
        <is>
          <t>2026-04-17</t>
        </is>
      </c>
    </row>
    <row r="60">
      <c r="A60" s="14" t="inlineStr">
        <is>
          <t>Youth Save Democracy PAC</t>
        </is>
      </c>
      <c r="B60" s="14" t="inlineStr">
        <is>
          <t>Ryan Mackenzie</t>
        </is>
      </c>
      <c r="C60" s="46" t="inlineStr">
        <is>
          <t>Opposes</t>
        </is>
      </c>
      <c r="D60" s="14" t="inlineStr">
        <is>
          <t>Printing and Postage</t>
        </is>
      </c>
      <c r="E60" s="14" t="inlineStr">
        <is>
          <t>Civitech, Pbc</t>
        </is>
      </c>
      <c r="F60" s="14" t="inlineStr">
        <is>
          <t>San Antonio</t>
        </is>
      </c>
      <c r="G60" s="14" t="inlineStr">
        <is>
          <t>TX</t>
        </is>
      </c>
      <c r="H60" s="47" t="n">
        <v>6044</v>
      </c>
      <c r="I60" s="14" t="inlineStr">
        <is>
          <t>Mail and print</t>
        </is>
      </c>
      <c r="J60" s="14" t="inlineStr">
        <is>
          <t>2025-04-14</t>
        </is>
      </c>
    </row>
    <row r="61">
      <c r="A61" s="14" t="inlineStr">
        <is>
          <t>Working Families Party PAC</t>
        </is>
      </c>
      <c r="B61" s="14" t="inlineStr">
        <is>
          <t>Bob Brooks</t>
        </is>
      </c>
      <c r="C61" s="46" t="inlineStr">
        <is>
          <t>Supports</t>
        </is>
      </c>
      <c r="D61" s="14" t="inlineStr">
        <is>
          <t>Direct Mail Fec-1979274</t>
        </is>
      </c>
      <c r="E61" s="14" t="inlineStr">
        <is>
          <t>Person2person Solutions</t>
        </is>
      </c>
      <c r="F61" s="14" t="inlineStr">
        <is>
          <t>Brooklyn</t>
        </is>
      </c>
      <c r="G61" s="14" t="inlineStr">
        <is>
          <t>NY</t>
        </is>
      </c>
      <c r="H61" s="47" t="n">
        <v>4639.8</v>
      </c>
      <c r="I61" s="14" t="inlineStr">
        <is>
          <t>Mail and print</t>
        </is>
      </c>
      <c r="J61" s="14" t="inlineStr">
        <is>
          <t>2026-08-10</t>
        </is>
      </c>
    </row>
    <row r="62">
      <c r="A62" s="14" t="inlineStr">
        <is>
          <t>Medicare for All</t>
        </is>
      </c>
      <c r="B62" s="14" t="inlineStr">
        <is>
          <t>Bob Brooks</t>
        </is>
      </c>
      <c r="C62" s="46" t="inlineStr">
        <is>
          <t>Supports</t>
        </is>
      </c>
      <c r="D62" s="14" t="inlineStr">
        <is>
          <t>Digital Advertising Production -actual Cost</t>
        </is>
      </c>
      <c r="E62" s="14" t="inlineStr">
        <is>
          <t>Silversmith Strategies, LLC</t>
        </is>
      </c>
      <c r="F62" s="14" t="inlineStr">
        <is>
          <t>Chicago</t>
        </is>
      </c>
      <c r="G62" s="14" t="inlineStr">
        <is>
          <t>IL</t>
        </is>
      </c>
      <c r="H62" s="47" t="n">
        <v>4625</v>
      </c>
      <c r="I62" s="14" t="inlineStr">
        <is>
          <t>Digital advertising</t>
        </is>
      </c>
      <c r="J62" s="14" t="inlineStr">
        <is>
          <t>2026-05-18</t>
        </is>
      </c>
    </row>
    <row r="63">
      <c r="A63" s="14" t="inlineStr">
        <is>
          <t>Blue Majority Project</t>
        </is>
      </c>
      <c r="B63" s="14" t="inlineStr">
        <is>
          <t>Bob Brooks</t>
        </is>
      </c>
      <c r="C63" s="46" t="inlineStr">
        <is>
          <t>Supports</t>
        </is>
      </c>
      <c r="D63" s="14" t="inlineStr">
        <is>
          <t>Non-contribution Accout: Text Messages</t>
        </is>
      </c>
      <c r="E63" s="14" t="inlineStr">
        <is>
          <t>Activate Change LLC</t>
        </is>
      </c>
      <c r="F63" s="14" t="inlineStr">
        <is>
          <t>Dover</t>
        </is>
      </c>
      <c r="G63" s="14" t="inlineStr">
        <is>
          <t>DE</t>
        </is>
      </c>
      <c r="H63" s="47" t="n">
        <v>4250</v>
      </c>
      <c r="I63" s="14" t="inlineStr">
        <is>
          <t>Texting and phone calls</t>
        </is>
      </c>
      <c r="J63" s="14" t="inlineStr">
        <is>
          <t>2025-10-29</t>
        </is>
      </c>
    </row>
    <row r="64">
      <c r="A64" s="14" t="inlineStr">
        <is>
          <t>Stronger Together PA</t>
        </is>
      </c>
      <c r="B64" s="14" t="inlineStr">
        <is>
          <t>Bob Brooks</t>
        </is>
      </c>
      <c r="C64" s="46" t="inlineStr">
        <is>
          <t>Supports</t>
        </is>
      </c>
      <c r="D64" s="14" t="inlineStr">
        <is>
          <t>Ad Buy</t>
        </is>
      </c>
      <c r="E64" s="14" t="inlineStr">
        <is>
          <t>Technicolor Campaigns, LLC</t>
        </is>
      </c>
      <c r="F64" s="14" t="inlineStr">
        <is>
          <t>Philadelphia</t>
        </is>
      </c>
      <c r="G64" s="14" t="inlineStr">
        <is>
          <t>PA</t>
        </is>
      </c>
      <c r="H64" s="47" t="n">
        <v>4000</v>
      </c>
      <c r="I64" s="14" t="inlineStr">
        <is>
          <t>Television and media buys</t>
        </is>
      </c>
      <c r="J64" s="14" t="inlineStr">
        <is>
          <t>2026-05-13</t>
        </is>
      </c>
    </row>
    <row r="65">
      <c r="A65" s="14" t="inlineStr">
        <is>
          <t>Majority Blue PAC</t>
        </is>
      </c>
      <c r="B65" s="14" t="inlineStr">
        <is>
          <t>Bob Brooks</t>
        </is>
      </c>
      <c r="C65" s="46" t="inlineStr">
        <is>
          <t>Supports</t>
        </is>
      </c>
      <c r="D65" s="14" t="inlineStr">
        <is>
          <t>Text Messages</t>
        </is>
      </c>
      <c r="E65" s="14" t="inlineStr">
        <is>
          <t>Activate Change LLC</t>
        </is>
      </c>
      <c r="F65" s="14" t="inlineStr">
        <is>
          <t>Dover</t>
        </is>
      </c>
      <c r="G65" s="14" t="inlineStr">
        <is>
          <t>DE</t>
        </is>
      </c>
      <c r="H65" s="47" t="n">
        <v>3766.66</v>
      </c>
      <c r="I65" s="14" t="inlineStr">
        <is>
          <t>Texting and phone calls</t>
        </is>
      </c>
      <c r="J65" s="14" t="inlineStr">
        <is>
          <t>2026-06-22</t>
        </is>
      </c>
    </row>
    <row r="66">
      <c r="A66" s="14" t="inlineStr">
        <is>
          <t>Blue Shift PAC</t>
        </is>
      </c>
      <c r="B66" s="14" t="inlineStr">
        <is>
          <t>Bob Brooks</t>
        </is>
      </c>
      <c r="C66" s="46" t="inlineStr">
        <is>
          <t>Supports</t>
        </is>
      </c>
      <c r="D66" s="14" t="inlineStr">
        <is>
          <t>Text Messages</t>
        </is>
      </c>
      <c r="E66" s="14" t="inlineStr">
        <is>
          <t>Activate Change LLC</t>
        </is>
      </c>
      <c r="F66" s="14" t="inlineStr">
        <is>
          <t>Dover</t>
        </is>
      </c>
      <c r="G66" s="14" t="inlineStr">
        <is>
          <t>DE</t>
        </is>
      </c>
      <c r="H66" s="47" t="n">
        <v>3625</v>
      </c>
      <c r="I66" s="14" t="inlineStr">
        <is>
          <t>Texting and phone calls</t>
        </is>
      </c>
      <c r="J66" s="14" t="inlineStr">
        <is>
          <t>2026-06-22</t>
        </is>
      </c>
    </row>
    <row r="67">
      <c r="A67" s="14" t="inlineStr">
        <is>
          <t>Working Families Party PAC</t>
        </is>
      </c>
      <c r="B67" s="14" t="inlineStr">
        <is>
          <t>Bob Brooks</t>
        </is>
      </c>
      <c r="C67" s="46" t="inlineStr">
        <is>
          <t>Supports</t>
        </is>
      </c>
      <c r="D67" s="14" t="inlineStr">
        <is>
          <t>Printing</t>
        </is>
      </c>
      <c r="E67" s="14" t="inlineStr">
        <is>
          <t>Minuteman Press of Philadelphia</t>
        </is>
      </c>
      <c r="F67" s="14" t="inlineStr">
        <is>
          <t>Philadelphia</t>
        </is>
      </c>
      <c r="G67" s="14" t="inlineStr">
        <is>
          <t>PA</t>
        </is>
      </c>
      <c r="H67" s="47" t="n">
        <v>3556.19</v>
      </c>
      <c r="I67" s="14" t="inlineStr">
        <is>
          <t>Mail and print</t>
        </is>
      </c>
      <c r="J67" s="14" t="inlineStr">
        <is>
          <t>2026-05-18</t>
        </is>
      </c>
    </row>
    <row r="68">
      <c r="A68" s="14" t="inlineStr">
        <is>
          <t>FF PAC</t>
        </is>
      </c>
      <c r="B68" s="14" t="inlineStr">
        <is>
          <t>Bob Brooks</t>
        </is>
      </c>
      <c r="C68" s="46" t="inlineStr">
        <is>
          <t>Supports</t>
        </is>
      </c>
      <c r="D68" s="14" t="inlineStr">
        <is>
          <t>Media Buy and Ad Servicing</t>
        </is>
      </c>
      <c r="E68" s="14" t="inlineStr">
        <is>
          <t>Bully Pulpit International</t>
        </is>
      </c>
      <c r="F68" s="14" t="inlineStr">
        <is>
          <t>Washington</t>
        </is>
      </c>
      <c r="G68" s="14" t="inlineStr">
        <is>
          <t>DC</t>
        </is>
      </c>
      <c r="H68" s="47" t="n">
        <v>3300</v>
      </c>
      <c r="I68" s="14" t="inlineStr">
        <is>
          <t>Television and media buys</t>
        </is>
      </c>
      <c r="J68" s="14" t="inlineStr">
        <is>
          <t>2026-05-18</t>
        </is>
      </c>
    </row>
    <row r="69">
      <c r="A69" s="14" t="inlineStr">
        <is>
          <t>Make the Road Action Political Committee</t>
        </is>
      </c>
      <c r="B69" s="14" t="inlineStr">
        <is>
          <t>Bob Brooks</t>
        </is>
      </c>
      <c r="C69" s="46"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7" t="n">
        <v>3160.5</v>
      </c>
      <c r="I69" s="14" t="inlineStr">
        <is>
          <t>Canvassing and field</t>
        </is>
      </c>
      <c r="J69" s="14" t="inlineStr">
        <is>
          <t>2026-04-04</t>
        </is>
      </c>
    </row>
    <row r="70">
      <c r="A70" s="14" t="inlineStr">
        <is>
          <t>Make the Road Action Political Committee</t>
        </is>
      </c>
      <c r="B70" s="14" t="inlineStr">
        <is>
          <t>Bob Brooks</t>
        </is>
      </c>
      <c r="C70" s="46" t="inlineStr">
        <is>
          <t>Supports</t>
        </is>
      </c>
      <c r="D70" s="14" t="inlineStr">
        <is>
          <t>Canvassing Services (corresponding Memo on 24/48 Can Not Be Deleted in Fecfile)</t>
        </is>
      </c>
      <c r="E70" s="14" t="inlineStr">
        <is>
          <t>Make the Road Action Inc.</t>
        </is>
      </c>
      <c r="F70" s="14" t="inlineStr">
        <is>
          <t>Brooklyn</t>
        </is>
      </c>
      <c r="G70" s="14" t="inlineStr">
        <is>
          <t>NY</t>
        </is>
      </c>
      <c r="H70" s="47" t="n">
        <v>3118.5</v>
      </c>
      <c r="I70" s="14" t="inlineStr">
        <is>
          <t>Canvassing and field</t>
        </is>
      </c>
      <c r="J70" s="14" t="inlineStr">
        <is>
          <t>2026-04-10</t>
        </is>
      </c>
    </row>
    <row r="71">
      <c r="A71" s="14" t="inlineStr">
        <is>
          <t>Make the Road Action Political Committee</t>
        </is>
      </c>
      <c r="B71" s="14" t="inlineStr">
        <is>
          <t>Bob Brooks</t>
        </is>
      </c>
      <c r="C71" s="46" t="inlineStr">
        <is>
          <t>Supports</t>
        </is>
      </c>
      <c r="D71" s="14" t="inlineStr">
        <is>
          <t>Canvassing Services (corresponding Memo on 24/48 Can Not Be Deleted in Fecfile)</t>
        </is>
      </c>
      <c r="E71" s="14" t="inlineStr">
        <is>
          <t>Make the Road Action Inc.</t>
        </is>
      </c>
      <c r="F71" s="14" t="inlineStr">
        <is>
          <t>Brooklyn</t>
        </is>
      </c>
      <c r="G71" s="14" t="inlineStr">
        <is>
          <t>NY</t>
        </is>
      </c>
      <c r="H71" s="47" t="n">
        <v>2940</v>
      </c>
      <c r="I71" s="14" t="inlineStr">
        <is>
          <t>Canvassing and field</t>
        </is>
      </c>
      <c r="J71" s="14" t="inlineStr">
        <is>
          <t>2026-06-01</t>
        </is>
      </c>
    </row>
    <row r="72">
      <c r="A72" s="14" t="inlineStr">
        <is>
          <t>Kitchen Table Values PAC</t>
        </is>
      </c>
      <c r="B72" s="14" t="inlineStr">
        <is>
          <t>Bob Brooks</t>
        </is>
      </c>
      <c r="C72" s="46" t="inlineStr">
        <is>
          <t>Opposes</t>
        </is>
      </c>
      <c r="D72" s="14" t="inlineStr">
        <is>
          <t>Radio Ad</t>
        </is>
      </c>
      <c r="E72" s="14" t="inlineStr">
        <is>
          <t>Vp Broadcasting LLC</t>
        </is>
      </c>
      <c r="F72" s="14" t="inlineStr">
        <is>
          <t>Allentown</t>
        </is>
      </c>
      <c r="G72" s="14" t="inlineStr">
        <is>
          <t>PA</t>
        </is>
      </c>
      <c r="H72" s="47" t="n">
        <v>2040</v>
      </c>
      <c r="I72" s="14" t="inlineStr">
        <is>
          <t>Radio</t>
        </is>
      </c>
      <c r="J72" s="14" t="inlineStr">
        <is>
          <t>2026-05-11</t>
        </is>
      </c>
    </row>
    <row r="73">
      <c r="A73" s="14" t="inlineStr">
        <is>
          <t>SEIU Cope (service Employees International Union Committee on Political Education)</t>
        </is>
      </c>
      <c r="B73" s="14" t="inlineStr">
        <is>
          <t>Bob Brooks</t>
        </is>
      </c>
      <c r="C73" s="46" t="inlineStr">
        <is>
          <t>Supports</t>
        </is>
      </c>
      <c r="D73" s="14" t="inlineStr">
        <is>
          <t>Payment for Texting As Disclosed on 5/17 24-hour Notice &amp; 6/20 Monthly Report</t>
        </is>
      </c>
      <c r="E73" s="14" t="inlineStr">
        <is>
          <t>Scale to Win</t>
        </is>
      </c>
      <c r="F73" s="14" t="inlineStr">
        <is>
          <t>Santa Ana</t>
        </is>
      </c>
      <c r="G73" s="14" t="inlineStr">
        <is>
          <t>CA</t>
        </is>
      </c>
      <c r="H73" s="47" t="n">
        <v>2001.41</v>
      </c>
      <c r="I73" s="14" t="inlineStr">
        <is>
          <t>Texting and phone calls</t>
        </is>
      </c>
      <c r="J73" s="14" t="inlineStr">
        <is>
          <t>2026-08-13</t>
        </is>
      </c>
    </row>
    <row r="74">
      <c r="A74" s="14" t="inlineStr">
        <is>
          <t>Kitchen Table Values PAC</t>
        </is>
      </c>
      <c r="B74" s="14" t="inlineStr">
        <is>
          <t>Bob Brooks</t>
        </is>
      </c>
      <c r="C74" s="46" t="inlineStr">
        <is>
          <t>Opposes</t>
        </is>
      </c>
      <c r="D74" s="14" t="inlineStr">
        <is>
          <t>Texts</t>
        </is>
      </c>
      <c r="E74" s="14" t="inlineStr">
        <is>
          <t>Stephen Barron</t>
        </is>
      </c>
      <c r="F74" s="14" t="inlineStr">
        <is>
          <t>Bethlehem</t>
        </is>
      </c>
      <c r="G74" s="14" t="inlineStr">
        <is>
          <t>PA</t>
        </is>
      </c>
      <c r="H74" s="47" t="n">
        <v>1700</v>
      </c>
      <c r="I74" s="14" t="inlineStr">
        <is>
          <t>Texting and phone calls</t>
        </is>
      </c>
      <c r="J74" s="14" t="inlineStr">
        <is>
          <t>2026-05-05</t>
        </is>
      </c>
    </row>
    <row r="75">
      <c r="A75" s="14" t="inlineStr">
        <is>
          <t>Kitchen Table Values PAC</t>
        </is>
      </c>
      <c r="B75" s="14" t="inlineStr">
        <is>
          <t>Bob Brooks</t>
        </is>
      </c>
      <c r="C75" s="46" t="inlineStr">
        <is>
          <t>Opposes</t>
        </is>
      </c>
      <c r="D75" s="14" t="inlineStr">
        <is>
          <t>Texts</t>
        </is>
      </c>
      <c r="E75" s="14" t="inlineStr">
        <is>
          <t>Stephen Barron</t>
        </is>
      </c>
      <c r="F75" s="14" t="inlineStr">
        <is>
          <t>Bethlehem</t>
        </is>
      </c>
      <c r="G75" s="14" t="inlineStr">
        <is>
          <t>PA</t>
        </is>
      </c>
      <c r="H75" s="47" t="n">
        <v>1700</v>
      </c>
      <c r="I75" s="14" t="inlineStr">
        <is>
          <t>Texting and phone calls</t>
        </is>
      </c>
      <c r="J75" s="14" t="inlineStr">
        <is>
          <t>2026-04-29</t>
        </is>
      </c>
    </row>
    <row r="76">
      <c r="A76" s="14" t="inlineStr">
        <is>
          <t>Kitchen Table Values PAC</t>
        </is>
      </c>
      <c r="B76" s="14" t="inlineStr">
        <is>
          <t>Bob Brooks</t>
        </is>
      </c>
      <c r="C76" s="46" t="inlineStr">
        <is>
          <t>Opposes</t>
        </is>
      </c>
      <c r="D76" s="14" t="inlineStr">
        <is>
          <t>Texts</t>
        </is>
      </c>
      <c r="E76" s="14" t="inlineStr">
        <is>
          <t>Stephen Barron</t>
        </is>
      </c>
      <c r="F76" s="14" t="inlineStr">
        <is>
          <t>Bethlehem</t>
        </is>
      </c>
      <c r="G76" s="14" t="inlineStr">
        <is>
          <t>PA</t>
        </is>
      </c>
      <c r="H76" s="47" t="n">
        <v>1700</v>
      </c>
      <c r="I76" s="14" t="inlineStr">
        <is>
          <t>Texting and phone calls</t>
        </is>
      </c>
      <c r="J76" s="14" t="inlineStr">
        <is>
          <t>2026-04-29</t>
        </is>
      </c>
    </row>
    <row r="77">
      <c r="A77" s="14" t="inlineStr">
        <is>
          <t>Kitchen Table Values PAC</t>
        </is>
      </c>
      <c r="B77" s="14" t="inlineStr">
        <is>
          <t>Bob Brooks</t>
        </is>
      </c>
      <c r="C77" s="46" t="inlineStr">
        <is>
          <t>Opposes</t>
        </is>
      </c>
      <c r="D77" s="14" t="inlineStr">
        <is>
          <t>Texts</t>
        </is>
      </c>
      <c r="E77" s="14" t="inlineStr">
        <is>
          <t>Stephen Barron</t>
        </is>
      </c>
      <c r="F77" s="14" t="inlineStr">
        <is>
          <t>Bethlehem</t>
        </is>
      </c>
      <c r="G77" s="14" t="inlineStr">
        <is>
          <t>PA</t>
        </is>
      </c>
      <c r="H77" s="47" t="n">
        <v>1700</v>
      </c>
      <c r="I77" s="14" t="inlineStr">
        <is>
          <t>Texting and phone calls</t>
        </is>
      </c>
      <c r="J77" s="14" t="inlineStr">
        <is>
          <t>2026-04-16</t>
        </is>
      </c>
    </row>
    <row r="78">
      <c r="A78" s="14" t="inlineStr">
        <is>
          <t>Democratic Future PAC</t>
        </is>
      </c>
      <c r="B78" s="14" t="inlineStr">
        <is>
          <t>Bob Brooks</t>
        </is>
      </c>
      <c r="C78" s="46" t="inlineStr">
        <is>
          <t>Supports</t>
        </is>
      </c>
      <c r="D78" s="14" t="inlineStr">
        <is>
          <t>Text Messages</t>
        </is>
      </c>
      <c r="E78" s="14" t="inlineStr">
        <is>
          <t>Activate Change LLC</t>
        </is>
      </c>
      <c r="F78" s="14" t="inlineStr">
        <is>
          <t>Dover</t>
        </is>
      </c>
      <c r="G78" s="14" t="inlineStr">
        <is>
          <t>DE</t>
        </is>
      </c>
      <c r="H78" s="47" t="n">
        <v>1600</v>
      </c>
      <c r="I78" s="14" t="inlineStr">
        <is>
          <t>Texting and phone calls</t>
        </is>
      </c>
      <c r="J78" s="14" t="inlineStr">
        <is>
          <t>2026-04-20</t>
        </is>
      </c>
    </row>
    <row r="79">
      <c r="A79" s="14" t="inlineStr">
        <is>
          <t>Rural Freedom Network</t>
        </is>
      </c>
      <c r="B79" s="14" t="inlineStr">
        <is>
          <t>Ryan Mackenzie</t>
        </is>
      </c>
      <c r="C79" s="46" t="inlineStr">
        <is>
          <t>Opposes</t>
        </is>
      </c>
      <c r="D79" s="14" t="inlineStr">
        <is>
          <t>Printing</t>
        </is>
      </c>
      <c r="E79" s="14" t="inlineStr">
        <is>
          <t>Zippityprint</t>
        </is>
      </c>
      <c r="F79" s="14" t="inlineStr">
        <is>
          <t>Cleveland</t>
        </is>
      </c>
      <c r="G79" s="14" t="inlineStr">
        <is>
          <t>OH</t>
        </is>
      </c>
      <c r="H79" s="47" t="n">
        <v>1517.06</v>
      </c>
      <c r="I79" s="14" t="inlineStr">
        <is>
          <t>Mail and print</t>
        </is>
      </c>
      <c r="J79" s="14" t="inlineStr">
        <is>
          <t>2026-03-06</t>
        </is>
      </c>
    </row>
    <row r="80">
      <c r="A80" s="14" t="inlineStr">
        <is>
          <t>Make the Road Action Political Committee</t>
        </is>
      </c>
      <c r="B80" s="14" t="inlineStr">
        <is>
          <t>Bob Brooks</t>
        </is>
      </c>
      <c r="C80" s="46" t="inlineStr">
        <is>
          <t>Supports</t>
        </is>
      </c>
      <c r="D80" s="14" t="inlineStr">
        <is>
          <t>Door Literature</t>
        </is>
      </c>
      <c r="E80" s="14" t="inlineStr">
        <is>
          <t>Minuteman Press</t>
        </is>
      </c>
      <c r="F80" s="14" t="inlineStr">
        <is>
          <t>Philadelphia</t>
        </is>
      </c>
      <c r="G80" s="14" t="inlineStr">
        <is>
          <t>PA</t>
        </is>
      </c>
      <c r="H80" s="47" t="n">
        <v>1421.27</v>
      </c>
      <c r="I80" s="14" t="inlineStr">
        <is>
          <t>Mail and print</t>
        </is>
      </c>
      <c r="J80" s="14" t="inlineStr">
        <is>
          <t>2026-04-10</t>
        </is>
      </c>
    </row>
    <row r="81">
      <c r="A81" s="14" t="inlineStr">
        <is>
          <t>Activate America</t>
        </is>
      </c>
      <c r="B81" s="14" t="inlineStr">
        <is>
          <t>Ryan Mackenzie</t>
        </is>
      </c>
      <c r="C81" s="46" t="inlineStr">
        <is>
          <t>Opposes</t>
        </is>
      </c>
      <c r="D81" s="14" t="inlineStr">
        <is>
          <t>Voter Data</t>
        </is>
      </c>
      <c r="E81" s="14" t="inlineStr">
        <is>
          <t>America Votes</t>
        </is>
      </c>
      <c r="F81" s="14" t="inlineStr">
        <is>
          <t>Washington</t>
        </is>
      </c>
      <c r="G81" s="14" t="inlineStr">
        <is>
          <t>DC</t>
        </is>
      </c>
      <c r="H81" s="47" t="n">
        <v>1230.12</v>
      </c>
      <c r="I81" s="14" t="inlineStr">
        <is>
          <t>Data</t>
        </is>
      </c>
      <c r="J81" s="14" t="inlineStr">
        <is>
          <t>2025-04-14</t>
        </is>
      </c>
    </row>
    <row r="82">
      <c r="A82" s="14" t="inlineStr">
        <is>
          <t>FF PAC</t>
        </is>
      </c>
      <c r="B82" s="14" t="inlineStr">
        <is>
          <t>Bob Brooks</t>
        </is>
      </c>
      <c r="C82" s="46" t="inlineStr">
        <is>
          <t>Supports</t>
        </is>
      </c>
      <c r="D82" s="14" t="inlineStr">
        <is>
          <t>Ad Production</t>
        </is>
      </c>
      <c r="E82" s="14" t="inlineStr">
        <is>
          <t>Echo Networks LLC</t>
        </is>
      </c>
      <c r="F82" s="14" t="inlineStr">
        <is>
          <t>Brooklyn</t>
        </is>
      </c>
      <c r="G82" s="14" t="inlineStr">
        <is>
          <t>NY</t>
        </is>
      </c>
      <c r="H82" s="47" t="n">
        <v>1200</v>
      </c>
      <c r="I82" s="14" t="inlineStr">
        <is>
          <t>Production</t>
        </is>
      </c>
      <c r="J82" s="14" t="inlineStr">
        <is>
          <t>2026-05-18</t>
        </is>
      </c>
    </row>
    <row r="83">
      <c r="A83" s="14" t="inlineStr">
        <is>
          <t>Majority Blue PAC</t>
        </is>
      </c>
      <c r="B83" s="14" t="inlineStr">
        <is>
          <t>Bob Brooks</t>
        </is>
      </c>
      <c r="C83" s="46" t="inlineStr">
        <is>
          <t>Supports</t>
        </is>
      </c>
      <c r="D83" s="14" t="inlineStr">
        <is>
          <t>Text Messages</t>
        </is>
      </c>
      <c r="E83" s="14" t="inlineStr">
        <is>
          <t>Activate Change LLC</t>
        </is>
      </c>
      <c r="F83" s="14" t="inlineStr">
        <is>
          <t>Dover</t>
        </is>
      </c>
      <c r="G83" s="14" t="inlineStr">
        <is>
          <t>DE</t>
        </is>
      </c>
      <c r="H83" s="47" t="n">
        <v>1175</v>
      </c>
      <c r="I83" s="14" t="inlineStr">
        <is>
          <t>Texting and phone calls</t>
        </is>
      </c>
      <c r="J83" s="14" t="inlineStr">
        <is>
          <t>2026-06-22</t>
        </is>
      </c>
    </row>
    <row r="84">
      <c r="A84" s="14" t="inlineStr">
        <is>
          <t>Blue Shift PAC</t>
        </is>
      </c>
      <c r="B84" s="14" t="inlineStr">
        <is>
          <t>Bob Brooks</t>
        </is>
      </c>
      <c r="C84" s="46" t="inlineStr">
        <is>
          <t>Supports</t>
        </is>
      </c>
      <c r="D84" s="14" t="inlineStr">
        <is>
          <t>Text Messages</t>
        </is>
      </c>
      <c r="E84" s="14" t="inlineStr">
        <is>
          <t>Activate Change LLC</t>
        </is>
      </c>
      <c r="F84" s="14" t="inlineStr">
        <is>
          <t>Dover</t>
        </is>
      </c>
      <c r="G84" s="14" t="inlineStr">
        <is>
          <t>DE</t>
        </is>
      </c>
      <c r="H84" s="47" t="n">
        <v>1083.33</v>
      </c>
      <c r="I84" s="14" t="inlineStr">
        <is>
          <t>Texting and phone calls</t>
        </is>
      </c>
      <c r="J84" s="14" t="inlineStr">
        <is>
          <t>2026-04-20</t>
        </is>
      </c>
    </row>
    <row r="85">
      <c r="A85" s="14" t="inlineStr">
        <is>
          <t>Blue Democracy Network</t>
        </is>
      </c>
      <c r="B85" s="14" t="inlineStr">
        <is>
          <t>Bob Brooks</t>
        </is>
      </c>
      <c r="C85" s="46" t="inlineStr">
        <is>
          <t>Supports</t>
        </is>
      </c>
      <c r="D85" s="14" t="inlineStr">
        <is>
          <t>Text Messages</t>
        </is>
      </c>
      <c r="E85" s="14" t="inlineStr">
        <is>
          <t>Activate Change LLC</t>
        </is>
      </c>
      <c r="F85" s="14" t="inlineStr">
        <is>
          <t>Dover</t>
        </is>
      </c>
      <c r="G85" s="14" t="inlineStr">
        <is>
          <t>DE</t>
        </is>
      </c>
      <c r="H85" s="47" t="n">
        <v>1012.5</v>
      </c>
      <c r="I85" s="14" t="inlineStr">
        <is>
          <t>Texting and phone calls</t>
        </is>
      </c>
      <c r="J85" s="14" t="inlineStr">
        <is>
          <t>2026-04-20</t>
        </is>
      </c>
    </row>
    <row r="86">
      <c r="A86" s="14" t="inlineStr">
        <is>
          <t>Democratic Future PAC</t>
        </is>
      </c>
      <c r="B86" s="14" t="inlineStr">
        <is>
          <t>Bob Brooks</t>
        </is>
      </c>
      <c r="C86" s="46" t="inlineStr">
        <is>
          <t>Supports</t>
        </is>
      </c>
      <c r="D86" s="14" t="inlineStr">
        <is>
          <t>Text Messages</t>
        </is>
      </c>
      <c r="E86" s="14" t="inlineStr">
        <is>
          <t>Activate Change LLC</t>
        </is>
      </c>
      <c r="F86" s="14" t="inlineStr">
        <is>
          <t>Dover</t>
        </is>
      </c>
      <c r="G86" s="14" t="inlineStr">
        <is>
          <t>DE</t>
        </is>
      </c>
      <c r="H86" s="47" t="n">
        <v>1000</v>
      </c>
      <c r="I86" s="14" t="inlineStr">
        <is>
          <t>Texting and phone calls</t>
        </is>
      </c>
      <c r="J86" s="14" t="inlineStr">
        <is>
          <t>2026-04-20</t>
        </is>
      </c>
    </row>
    <row r="87">
      <c r="A87" s="14" t="inlineStr">
        <is>
          <t>SEIU Cope (service Employees International Union Committee on Political Education)</t>
        </is>
      </c>
      <c r="B87" s="14" t="inlineStr">
        <is>
          <t>Bob Brooks</t>
        </is>
      </c>
      <c r="C87" s="46" t="inlineStr">
        <is>
          <t>Supports</t>
        </is>
      </c>
      <c r="D87" s="14" t="inlineStr">
        <is>
          <t>Payment for Texting As Disclosed on 6/20 Monthly Report</t>
        </is>
      </c>
      <c r="E87" s="14" t="inlineStr">
        <is>
          <t>Scale to Win</t>
        </is>
      </c>
      <c r="F87" s="14" t="inlineStr">
        <is>
          <t>Santa Ana</t>
        </is>
      </c>
      <c r="G87" s="14" t="inlineStr">
        <is>
          <t>CA</t>
        </is>
      </c>
      <c r="H87" s="47" t="n">
        <v>907.6799999999999</v>
      </c>
      <c r="I87" s="14" t="inlineStr">
        <is>
          <t>Texting and phone calls</t>
        </is>
      </c>
      <c r="J87" s="14" t="inlineStr">
        <is>
          <t>2026-08-13</t>
        </is>
      </c>
    </row>
    <row r="88">
      <c r="A88" s="14" t="inlineStr">
        <is>
          <t>Blue Majority Project</t>
        </is>
      </c>
      <c r="B88" s="14" t="inlineStr">
        <is>
          <t>Bob Brooks</t>
        </is>
      </c>
      <c r="C88" s="46" t="inlineStr">
        <is>
          <t>Supports</t>
        </is>
      </c>
      <c r="D88" s="14" t="inlineStr">
        <is>
          <t>Text Messages</t>
        </is>
      </c>
      <c r="E88" s="14" t="inlineStr">
        <is>
          <t>Activate Change LLC</t>
        </is>
      </c>
      <c r="F88" s="14" t="inlineStr">
        <is>
          <t>Dover</t>
        </is>
      </c>
      <c r="G88" s="14" t="inlineStr">
        <is>
          <t>DE</t>
        </is>
      </c>
      <c r="H88" s="47" t="n">
        <v>883.34</v>
      </c>
      <c r="I88" s="14" t="inlineStr">
        <is>
          <t>Texting and phone calls</t>
        </is>
      </c>
      <c r="J88" s="14" t="inlineStr">
        <is>
          <t>2026-02-09</t>
        </is>
      </c>
    </row>
    <row r="89">
      <c r="A89" s="14" t="inlineStr">
        <is>
          <t>Field Team 6, Inc.</t>
        </is>
      </c>
      <c r="B89" s="14" t="inlineStr">
        <is>
          <t>Ryan Mackenzie</t>
        </is>
      </c>
      <c r="C89" s="46" t="inlineStr">
        <is>
          <t>Opposes</t>
        </is>
      </c>
      <c r="D89" s="14" t="inlineStr">
        <is>
          <t>Sms Texting</t>
        </is>
      </c>
      <c r="E89" s="14" t="inlineStr">
        <is>
          <t>Momentous Outreach Inc</t>
        </is>
      </c>
      <c r="F89" s="14" t="inlineStr">
        <is>
          <t>Los Angeles</t>
        </is>
      </c>
      <c r="G89" s="14" t="inlineStr">
        <is>
          <t>CA</t>
        </is>
      </c>
      <c r="H89" s="47" t="n">
        <v>859.88</v>
      </c>
      <c r="I89" s="14" t="inlineStr">
        <is>
          <t>Texting and phone calls</t>
        </is>
      </c>
      <c r="J89" s="14" t="inlineStr">
        <is>
          <t>2026-03-05</t>
        </is>
      </c>
    </row>
    <row r="90">
      <c r="A90" s="14" t="inlineStr">
        <is>
          <t>Make the Road Action Political Committee</t>
        </is>
      </c>
      <c r="B90" s="14" t="inlineStr">
        <is>
          <t>Bob Brooks</t>
        </is>
      </c>
      <c r="C90" s="46" t="inlineStr">
        <is>
          <t>Supports</t>
        </is>
      </c>
      <c r="D90" s="14" t="inlineStr">
        <is>
          <t>Canvassing Services (corresponding Memo on 24/48 Can Not Be Deleted in Fecfile)</t>
        </is>
      </c>
      <c r="E90" s="14" t="inlineStr">
        <is>
          <t>Make the Road Action Inc.</t>
        </is>
      </c>
      <c r="F90" s="14" t="inlineStr">
        <is>
          <t>Brooklyn</t>
        </is>
      </c>
      <c r="G90" s="14" t="inlineStr">
        <is>
          <t>NY</t>
        </is>
      </c>
      <c r="H90" s="47" t="n">
        <v>735</v>
      </c>
      <c r="I90" s="14" t="inlineStr">
        <is>
          <t>Canvassing and field</t>
        </is>
      </c>
      <c r="J90" s="14" t="inlineStr">
        <is>
          <t>2026-04-30</t>
        </is>
      </c>
    </row>
    <row r="91">
      <c r="A91" s="14" t="inlineStr">
        <is>
          <t>Make the Road Action Political Committee</t>
        </is>
      </c>
      <c r="B91" s="14" t="inlineStr">
        <is>
          <t>Bob Brooks</t>
        </is>
      </c>
      <c r="C91" s="46" t="inlineStr">
        <is>
          <t>Supports</t>
        </is>
      </c>
      <c r="D91" s="14" t="inlineStr">
        <is>
          <t>Canvassing Services (corresponding Memo on 24/48 Can Not Be Deleted in Fecfile)</t>
        </is>
      </c>
      <c r="E91" s="14" t="inlineStr">
        <is>
          <t>Make the Road Action Inc.</t>
        </is>
      </c>
      <c r="F91" s="14" t="inlineStr">
        <is>
          <t>Brooklyn</t>
        </is>
      </c>
      <c r="G91" s="14" t="inlineStr">
        <is>
          <t>NY</t>
        </is>
      </c>
      <c r="H91" s="47" t="n">
        <v>682</v>
      </c>
      <c r="I91" s="14" t="inlineStr">
        <is>
          <t>Canvassing and field</t>
        </is>
      </c>
      <c r="J91" s="14" t="inlineStr">
        <is>
          <t>2026-06-01</t>
        </is>
      </c>
    </row>
    <row r="92">
      <c r="A92" s="14" t="inlineStr">
        <is>
          <t>Blue Majority Makers PAC</t>
        </is>
      </c>
      <c r="B92" s="14" t="inlineStr">
        <is>
          <t>Bob Brooks</t>
        </is>
      </c>
      <c r="C92" s="46" t="inlineStr">
        <is>
          <t>Supports</t>
        </is>
      </c>
      <c r="D92" s="14" t="inlineStr">
        <is>
          <t>Text Messages</t>
        </is>
      </c>
      <c r="E92" s="14" t="inlineStr">
        <is>
          <t>Activate Change LLC</t>
        </is>
      </c>
      <c r="F92" s="14" t="inlineStr">
        <is>
          <t>Dover</t>
        </is>
      </c>
      <c r="G92" s="14" t="inlineStr">
        <is>
          <t>DE</t>
        </is>
      </c>
      <c r="H92" s="47" t="n">
        <v>666.66</v>
      </c>
      <c r="I92" s="14" t="inlineStr">
        <is>
          <t>Texting and phone calls</t>
        </is>
      </c>
      <c r="J92" s="14" t="inlineStr">
        <is>
          <t>2026-06-22</t>
        </is>
      </c>
    </row>
    <row r="93">
      <c r="A93" s="14" t="inlineStr">
        <is>
          <t>Field Team 6, Inc.</t>
        </is>
      </c>
      <c r="B93" s="14" t="inlineStr">
        <is>
          <t>Bob Brooks</t>
        </is>
      </c>
      <c r="C93" s="46" t="inlineStr">
        <is>
          <t>Supports</t>
        </is>
      </c>
      <c r="D93" s="14" t="inlineStr">
        <is>
          <t>Sms Texting</t>
        </is>
      </c>
      <c r="E93" s="14" t="inlineStr">
        <is>
          <t>Momentous Outreach Inc</t>
        </is>
      </c>
      <c r="F93" s="14" t="inlineStr">
        <is>
          <t>Los Angeles</t>
        </is>
      </c>
      <c r="G93" s="14" t="inlineStr">
        <is>
          <t>CA</t>
        </is>
      </c>
      <c r="H93" s="47" t="n">
        <v>638.3</v>
      </c>
      <c r="I93" s="14" t="inlineStr">
        <is>
          <t>Texting and phone calls</t>
        </is>
      </c>
      <c r="J93" s="14" t="inlineStr">
        <is>
          <t>2026-06-24</t>
        </is>
      </c>
    </row>
    <row r="94">
      <c r="A94" s="14" t="inlineStr">
        <is>
          <t>People's Action Power</t>
        </is>
      </c>
      <c r="B94" s="14" t="inlineStr">
        <is>
          <t>Bob Brooks</t>
        </is>
      </c>
      <c r="C94" s="46" t="inlineStr">
        <is>
          <t>Supports</t>
        </is>
      </c>
      <c r="D94" s="14" t="inlineStr">
        <is>
          <t>Non-contribution Account: Text Messaging</t>
        </is>
      </c>
      <c r="E94" s="14" t="inlineStr">
        <is>
          <t>Scale to Win</t>
        </is>
      </c>
      <c r="F94" s="14" t="inlineStr">
        <is>
          <t>Santa Ana</t>
        </is>
      </c>
      <c r="G94" s="14" t="inlineStr">
        <is>
          <t>CA</t>
        </is>
      </c>
      <c r="H94" s="47" t="n">
        <v>530.05</v>
      </c>
      <c r="I94" s="14" t="inlineStr">
        <is>
          <t>Texting and phone calls</t>
        </is>
      </c>
      <c r="J94" s="14" t="inlineStr">
        <is>
          <t>2026-08-07</t>
        </is>
      </c>
    </row>
    <row r="95">
      <c r="A95" s="14" t="inlineStr">
        <is>
          <t>Indigo PAC</t>
        </is>
      </c>
      <c r="B95" s="14" t="inlineStr">
        <is>
          <t>Ryan Mackenzie</t>
        </is>
      </c>
      <c r="C95" s="46" t="inlineStr">
        <is>
          <t>Opposes</t>
        </is>
      </c>
      <c r="D95" s="14" t="inlineStr">
        <is>
          <t>Digital Advertising</t>
        </is>
      </c>
      <c r="E95" s="14" t="inlineStr">
        <is>
          <t>Meta Platforms, Inc.</t>
        </is>
      </c>
      <c r="F95" s="14" t="inlineStr">
        <is>
          <t>Menlo Park</t>
        </is>
      </c>
      <c r="G95" s="14" t="inlineStr">
        <is>
          <t>CA</t>
        </is>
      </c>
      <c r="H95" s="47" t="n">
        <v>346</v>
      </c>
      <c r="I95" s="14" t="inlineStr">
        <is>
          <t>Digital advertising</t>
        </is>
      </c>
      <c r="J95" s="14" t="inlineStr">
        <is>
          <t>2025-10-20</t>
        </is>
      </c>
    </row>
    <row r="96">
      <c r="A96" s="14" t="inlineStr">
        <is>
          <t>Indigo PAC</t>
        </is>
      </c>
      <c r="B96" s="14" t="inlineStr">
        <is>
          <t>Ryan Mackenzie</t>
        </is>
      </c>
      <c r="C96" s="46" t="inlineStr">
        <is>
          <t>Opposes</t>
        </is>
      </c>
      <c r="D96" s="14" t="inlineStr">
        <is>
          <t>Digital Advertising</t>
        </is>
      </c>
      <c r="E96" s="14" t="inlineStr">
        <is>
          <t>Meta Platforms, Inc.</t>
        </is>
      </c>
      <c r="F96" s="14" t="inlineStr">
        <is>
          <t>Menlo Park</t>
        </is>
      </c>
      <c r="G96" s="14" t="inlineStr">
        <is>
          <t>CA</t>
        </is>
      </c>
      <c r="H96" s="47" t="n">
        <v>304.22</v>
      </c>
      <c r="I96" s="14" t="inlineStr">
        <is>
          <t>Digital advertising</t>
        </is>
      </c>
      <c r="J96" s="14" t="inlineStr">
        <is>
          <t>2025-11-03</t>
        </is>
      </c>
    </row>
    <row r="97">
      <c r="A97" s="14" t="inlineStr">
        <is>
          <t>Indigo PAC</t>
        </is>
      </c>
      <c r="B97" s="14" t="inlineStr">
        <is>
          <t>Ryan Mackenzie</t>
        </is>
      </c>
      <c r="C97" s="46" t="inlineStr">
        <is>
          <t>Opposes</t>
        </is>
      </c>
      <c r="D97" s="14" t="inlineStr">
        <is>
          <t>Digital Advertising</t>
        </is>
      </c>
      <c r="E97" s="14" t="inlineStr">
        <is>
          <t>Meta Platforms, Inc.</t>
        </is>
      </c>
      <c r="F97" s="14" t="inlineStr">
        <is>
          <t>Menlo Park</t>
        </is>
      </c>
      <c r="G97" s="14" t="inlineStr">
        <is>
          <t>CA</t>
        </is>
      </c>
      <c r="H97" s="47" t="n">
        <v>284</v>
      </c>
      <c r="I97" s="14" t="inlineStr">
        <is>
          <t>Digital advertising</t>
        </is>
      </c>
      <c r="J97" s="14" t="inlineStr">
        <is>
          <t>2025-10-14</t>
        </is>
      </c>
    </row>
    <row r="98">
      <c r="A98" s="14" t="inlineStr">
        <is>
          <t>Activate America</t>
        </is>
      </c>
      <c r="B98" s="14" t="inlineStr">
        <is>
          <t>Ryan Mackenzie</t>
        </is>
      </c>
      <c r="C98" s="46" t="inlineStr">
        <is>
          <t>Opposes</t>
        </is>
      </c>
      <c r="D98" s="14" t="inlineStr">
        <is>
          <t>Text Bank</t>
        </is>
      </c>
      <c r="E98" s="14" t="inlineStr">
        <is>
          <t>Scale to Win</t>
        </is>
      </c>
      <c r="F98" s="14" t="inlineStr">
        <is>
          <t>Santa Ana</t>
        </is>
      </c>
      <c r="G98" s="14" t="inlineStr">
        <is>
          <t>CA</t>
        </is>
      </c>
      <c r="H98" s="47" t="n">
        <v>250.82</v>
      </c>
      <c r="I98" s="14" t="inlineStr">
        <is>
          <t>Texting and phone calls</t>
        </is>
      </c>
      <c r="J98" s="14" t="inlineStr">
        <is>
          <t>2025-05-16</t>
        </is>
      </c>
    </row>
    <row r="99">
      <c r="A99" s="14" t="inlineStr">
        <is>
          <t>Indigo PAC</t>
        </is>
      </c>
      <c r="B99" s="14" t="inlineStr">
        <is>
          <t>Ryan Mackenzie</t>
        </is>
      </c>
      <c r="C99" s="46" t="inlineStr">
        <is>
          <t>Opposes</t>
        </is>
      </c>
      <c r="D99" s="14" t="inlineStr">
        <is>
          <t>Digital Advertising</t>
        </is>
      </c>
      <c r="E99" s="14" t="inlineStr">
        <is>
          <t>Meta Platforms, Inc.</t>
        </is>
      </c>
      <c r="F99" s="14" t="inlineStr">
        <is>
          <t>Menlo Park</t>
        </is>
      </c>
      <c r="G99" s="14" t="inlineStr">
        <is>
          <t>CA</t>
        </is>
      </c>
      <c r="H99" s="47" t="n">
        <v>243</v>
      </c>
      <c r="I99" s="14" t="inlineStr">
        <is>
          <t>Digital advertising</t>
        </is>
      </c>
      <c r="J99" s="14" t="inlineStr">
        <is>
          <t>2025-10-07</t>
        </is>
      </c>
    </row>
    <row r="100">
      <c r="A100" s="14" t="inlineStr">
        <is>
          <t>Field Team 6, Inc.</t>
        </is>
      </c>
      <c r="B100" s="14" t="inlineStr">
        <is>
          <t>Ryan Mackenzie</t>
        </is>
      </c>
      <c r="C100" s="46" t="inlineStr">
        <is>
          <t>Opposes</t>
        </is>
      </c>
      <c r="D100" s="14" t="inlineStr">
        <is>
          <t>Sms Texting</t>
        </is>
      </c>
      <c r="E100" s="14" t="inlineStr">
        <is>
          <t>Momentous Outreach Inc</t>
        </is>
      </c>
      <c r="F100" s="14" t="inlineStr">
        <is>
          <t>Los Angeles</t>
        </is>
      </c>
      <c r="G100" s="14" t="inlineStr">
        <is>
          <t>CA</t>
        </is>
      </c>
      <c r="H100" s="47" t="n">
        <v>236.81</v>
      </c>
      <c r="I100" s="14" t="inlineStr">
        <is>
          <t>Texting and phone calls</t>
        </is>
      </c>
      <c r="J100" s="14" t="inlineStr">
        <is>
          <t>2026-02-04</t>
        </is>
      </c>
    </row>
    <row r="101">
      <c r="A101" s="14" t="inlineStr">
        <is>
          <t>SEIU Cope (service Employees International Union Committee on Political Education)</t>
        </is>
      </c>
      <c r="B101" s="14" t="inlineStr">
        <is>
          <t>Bob Brooks</t>
        </is>
      </c>
      <c r="C101" s="46" t="inlineStr">
        <is>
          <t>Supports</t>
        </is>
      </c>
      <c r="D101" s="14" t="inlineStr">
        <is>
          <t>Payment for Texting As Disclosed on 6/20 Monthly Report</t>
        </is>
      </c>
      <c r="E101" s="14" t="inlineStr">
        <is>
          <t>Scale to Win</t>
        </is>
      </c>
      <c r="F101" s="14" t="inlineStr">
        <is>
          <t>Santa Ana</t>
        </is>
      </c>
      <c r="G101" s="14" t="inlineStr">
        <is>
          <t>CA</t>
        </is>
      </c>
      <c r="H101" s="47" t="n">
        <v>231.9</v>
      </c>
      <c r="I101" s="14" t="inlineStr">
        <is>
          <t>Texting and phone calls</t>
        </is>
      </c>
      <c r="J101" s="14" t="inlineStr">
        <is>
          <t>2026-08-13</t>
        </is>
      </c>
    </row>
    <row r="102">
      <c r="A102" s="14" t="inlineStr">
        <is>
          <t>Indigo PAC</t>
        </is>
      </c>
      <c r="B102" s="14" t="inlineStr">
        <is>
          <t>Ryan Mackenzie</t>
        </is>
      </c>
      <c r="C102" s="46" t="inlineStr">
        <is>
          <t>Opposes</t>
        </is>
      </c>
      <c r="D102" s="14" t="inlineStr">
        <is>
          <t>Digital Advertising</t>
        </is>
      </c>
      <c r="E102" s="14" t="inlineStr">
        <is>
          <t>Meta Platforms, Inc.</t>
        </is>
      </c>
      <c r="F102" s="14" t="inlineStr">
        <is>
          <t>Menlo Park</t>
        </is>
      </c>
      <c r="G102" s="14" t="inlineStr">
        <is>
          <t>CA</t>
        </is>
      </c>
      <c r="H102" s="47" t="n">
        <v>194.64</v>
      </c>
      <c r="I102" s="14" t="inlineStr">
        <is>
          <t>Digital advertising</t>
        </is>
      </c>
      <c r="J102" s="14" t="inlineStr">
        <is>
          <t>2025-10-27</t>
        </is>
      </c>
    </row>
    <row r="103">
      <c r="A103" s="14" t="inlineStr">
        <is>
          <t>SURJ PAC</t>
        </is>
      </c>
      <c r="B103" s="14" t="inlineStr">
        <is>
          <t>Bob Brooks</t>
        </is>
      </c>
      <c r="C103" s="46" t="inlineStr">
        <is>
          <t>Supports</t>
        </is>
      </c>
      <c r="D103" s="14" t="inlineStr">
        <is>
          <t>Staff Time: Phone Banking - Non-contribution Account</t>
        </is>
      </c>
      <c r="E103" s="14" t="inlineStr">
        <is>
          <t>Showing Up for Racial Justice Inc.</t>
        </is>
      </c>
      <c r="F103" s="14" t="inlineStr">
        <is>
          <t>Atlanta</t>
        </is>
      </c>
      <c r="G103" s="14" t="inlineStr">
        <is>
          <t>GA</t>
        </is>
      </c>
      <c r="H103" s="47" t="n">
        <v>187.51</v>
      </c>
      <c r="I103" s="14" t="inlineStr">
        <is>
          <t>Texting and phone calls</t>
        </is>
      </c>
      <c r="J103" s="14" t="inlineStr">
        <is>
          <t>2026-05-29</t>
        </is>
      </c>
    </row>
    <row r="104">
      <c r="A104" s="14" t="inlineStr">
        <is>
          <t>Rural Freedom Network</t>
        </is>
      </c>
      <c r="B104" s="14" t="inlineStr">
        <is>
          <t>Bob Brooks</t>
        </is>
      </c>
      <c r="C104" s="46" t="inlineStr">
        <is>
          <t>Supports</t>
        </is>
      </c>
      <c r="D104" s="14" t="inlineStr">
        <is>
          <t>Printing</t>
        </is>
      </c>
      <c r="E104" s="14" t="inlineStr">
        <is>
          <t>Zippityprint</t>
        </is>
      </c>
      <c r="F104" s="14" t="inlineStr">
        <is>
          <t>Cleveland</t>
        </is>
      </c>
      <c r="G104" s="14" t="inlineStr">
        <is>
          <t>OH</t>
        </is>
      </c>
      <c r="H104" s="47" t="n">
        <v>157.07</v>
      </c>
      <c r="I104" s="14" t="inlineStr">
        <is>
          <t>Mail and print</t>
        </is>
      </c>
      <c r="J104" s="14" t="inlineStr">
        <is>
          <t>2026-06-18</t>
        </is>
      </c>
    </row>
    <row r="105">
      <c r="A105" s="14" t="inlineStr">
        <is>
          <t>Indigo PAC</t>
        </is>
      </c>
      <c r="B105" s="14" t="inlineStr">
        <is>
          <t>Ryan Mackenzie</t>
        </is>
      </c>
      <c r="C105" s="46" t="inlineStr">
        <is>
          <t>Opposes</t>
        </is>
      </c>
      <c r="D105" s="14" t="inlineStr">
        <is>
          <t>Digital Advertising</t>
        </is>
      </c>
      <c r="E105" s="14" t="inlineStr">
        <is>
          <t>Meta Platforms, Inc.</t>
        </is>
      </c>
      <c r="F105" s="14" t="inlineStr">
        <is>
          <t>Menlo Park</t>
        </is>
      </c>
      <c r="G105" s="14" t="inlineStr">
        <is>
          <t>CA</t>
        </is>
      </c>
      <c r="H105" s="47" t="n">
        <v>156</v>
      </c>
      <c r="I105" s="14" t="inlineStr">
        <is>
          <t>Digital advertising</t>
        </is>
      </c>
      <c r="J105" s="14" t="inlineStr">
        <is>
          <t>2025-09-29</t>
        </is>
      </c>
    </row>
    <row r="106">
      <c r="A106" s="14" t="inlineStr">
        <is>
          <t>Indigo PAC</t>
        </is>
      </c>
      <c r="B106" s="14" t="inlineStr">
        <is>
          <t>Ryan Mackenzie</t>
        </is>
      </c>
      <c r="C106" s="46" t="inlineStr">
        <is>
          <t>Opposes</t>
        </is>
      </c>
      <c r="D106" s="14" t="inlineStr">
        <is>
          <t>Digital Advertising</t>
        </is>
      </c>
      <c r="E106" s="14" t="inlineStr">
        <is>
          <t>Meta Platforms, Inc.</t>
        </is>
      </c>
      <c r="F106" s="14" t="inlineStr">
        <is>
          <t>Menlo Park</t>
        </is>
      </c>
      <c r="G106" s="14" t="inlineStr">
        <is>
          <t>CA</t>
        </is>
      </c>
      <c r="H106" s="47" t="n">
        <v>137.49</v>
      </c>
      <c r="I106" s="14" t="inlineStr">
        <is>
          <t>Digital advertising</t>
        </is>
      </c>
      <c r="J106" s="14" t="inlineStr">
        <is>
          <t>2025-09-29</t>
        </is>
      </c>
    </row>
    <row r="107">
      <c r="A107" s="14" t="inlineStr">
        <is>
          <t>Activate America</t>
        </is>
      </c>
      <c r="B107" s="14" t="inlineStr">
        <is>
          <t>Ryan Mackenzie</t>
        </is>
      </c>
      <c r="C107" s="46" t="inlineStr">
        <is>
          <t>Opposes</t>
        </is>
      </c>
      <c r="D107" s="14" t="inlineStr">
        <is>
          <t>Text Bank</t>
        </is>
      </c>
      <c r="E107" s="14" t="inlineStr">
        <is>
          <t>Scale to Win</t>
        </is>
      </c>
      <c r="F107" s="14" t="inlineStr">
        <is>
          <t>Santa Ana</t>
        </is>
      </c>
      <c r="G107" s="14" t="inlineStr">
        <is>
          <t>CA</t>
        </is>
      </c>
      <c r="H107" s="47" t="n">
        <v>124.9</v>
      </c>
      <c r="I107" s="14" t="inlineStr">
        <is>
          <t>Texting and phone calls</t>
        </is>
      </c>
      <c r="J107" s="14" t="inlineStr">
        <is>
          <t>2025-06-12</t>
        </is>
      </c>
    </row>
    <row r="108">
      <c r="A108" s="14" t="inlineStr">
        <is>
          <t>Blue Majority Makers PAC</t>
        </is>
      </c>
      <c r="B108" s="14" t="inlineStr">
        <is>
          <t>Bob Brooks</t>
        </is>
      </c>
      <c r="C108" s="46" t="inlineStr">
        <is>
          <t>Supports</t>
        </is>
      </c>
      <c r="D108" s="14" t="inlineStr">
        <is>
          <t>Text Messages</t>
        </is>
      </c>
      <c r="E108" s="14" t="inlineStr">
        <is>
          <t>Activate Change LLC</t>
        </is>
      </c>
      <c r="F108" s="14" t="inlineStr">
        <is>
          <t>Dover</t>
        </is>
      </c>
      <c r="G108" s="14" t="inlineStr">
        <is>
          <t>DE</t>
        </is>
      </c>
      <c r="H108" s="47" t="n">
        <v>100</v>
      </c>
      <c r="I108" s="14" t="inlineStr">
        <is>
          <t>Texting and phone calls</t>
        </is>
      </c>
      <c r="J108" s="14" t="inlineStr">
        <is>
          <t>2026-06-22</t>
        </is>
      </c>
    </row>
    <row r="109">
      <c r="A109" s="14" t="inlineStr">
        <is>
          <t>Activate America</t>
        </is>
      </c>
      <c r="B109" s="14" t="inlineStr">
        <is>
          <t>Ryan Mackenzie</t>
        </is>
      </c>
      <c r="C109" s="46" t="inlineStr">
        <is>
          <t>Opposes</t>
        </is>
      </c>
      <c r="D109" s="14" t="inlineStr">
        <is>
          <t>Phone Bank</t>
        </is>
      </c>
      <c r="E109" s="14" t="inlineStr">
        <is>
          <t>Scale to Win</t>
        </is>
      </c>
      <c r="F109" s="14" t="inlineStr">
        <is>
          <t>Santa Ana</t>
        </is>
      </c>
      <c r="G109" s="14" t="inlineStr">
        <is>
          <t>CA</t>
        </is>
      </c>
      <c r="H109" s="47" t="n">
        <v>96.45</v>
      </c>
      <c r="I109" s="14" t="inlineStr">
        <is>
          <t>Texting and phone calls</t>
        </is>
      </c>
      <c r="J109" s="14" t="inlineStr">
        <is>
          <t>2025-04-24</t>
        </is>
      </c>
    </row>
    <row r="110">
      <c r="A110" s="14" t="inlineStr">
        <is>
          <t>Planned Parenthood Votes</t>
        </is>
      </c>
      <c r="B110" s="14" t="inlineStr">
        <is>
          <t>Ryan Mackenzie</t>
        </is>
      </c>
      <c r="C110" s="46" t="inlineStr">
        <is>
          <t>Opposes</t>
        </is>
      </c>
      <c r="D110" s="14" t="inlineStr">
        <is>
          <t>Staff Time for Voter Communications</t>
        </is>
      </c>
      <c r="E110" s="14" t="inlineStr">
        <is>
          <t>Planned Parenthood Action Fund, Inc.</t>
        </is>
      </c>
      <c r="F110" s="14" t="inlineStr">
        <is>
          <t>New York</t>
        </is>
      </c>
      <c r="G110" s="14" t="inlineStr">
        <is>
          <t>NY</t>
        </is>
      </c>
      <c r="H110" s="47" t="n">
        <v>85.38</v>
      </c>
      <c r="I110" s="14" t="inlineStr">
        <is>
          <t>Canvassing and field</t>
        </is>
      </c>
      <c r="J110" s="14" t="inlineStr">
        <is>
          <t>2026-06-28</t>
        </is>
      </c>
    </row>
    <row r="111">
      <c r="A111" s="14" t="inlineStr">
        <is>
          <t>Indigo PAC</t>
        </is>
      </c>
      <c r="B111" s="14" t="inlineStr">
        <is>
          <t>Ryan Mackenzie</t>
        </is>
      </c>
      <c r="C111" s="46" t="inlineStr">
        <is>
          <t>Opposes</t>
        </is>
      </c>
      <c r="D111" s="14" t="inlineStr">
        <is>
          <t>Digital Advertising</t>
        </is>
      </c>
      <c r="E111" s="14" t="inlineStr">
        <is>
          <t>Meta Platforms, Inc.</t>
        </is>
      </c>
      <c r="F111" s="14" t="inlineStr">
        <is>
          <t>Menlo Park</t>
        </is>
      </c>
      <c r="G111" s="14" t="inlineStr">
        <is>
          <t>CA</t>
        </is>
      </c>
      <c r="H111" s="47" t="n">
        <v>76.42</v>
      </c>
      <c r="I111" s="14" t="inlineStr">
        <is>
          <t>Digital advertising</t>
        </is>
      </c>
      <c r="J111" s="14" t="inlineStr">
        <is>
          <t>2025-09-29</t>
        </is>
      </c>
    </row>
    <row r="112">
      <c r="A112" s="14" t="inlineStr">
        <is>
          <t>Planned Parenthood Votes</t>
        </is>
      </c>
      <c r="B112" s="14" t="inlineStr">
        <is>
          <t>Ryan Mackenzie</t>
        </is>
      </c>
      <c r="C112" s="46" t="inlineStr">
        <is>
          <t>Opposes</t>
        </is>
      </c>
      <c r="D112" s="14" t="inlineStr">
        <is>
          <t>Estimated Cost of Staff Time for Voter Communications</t>
        </is>
      </c>
      <c r="E112" s="14" t="inlineStr">
        <is>
          <t>Planned Parenthood Action Fund, Inc.</t>
        </is>
      </c>
      <c r="F112" s="14" t="inlineStr">
        <is>
          <t>New York</t>
        </is>
      </c>
      <c r="G112" s="14" t="inlineStr">
        <is>
          <t>NY</t>
        </is>
      </c>
      <c r="H112" s="47" t="n">
        <v>71.43000000000001</v>
      </c>
      <c r="I112" s="14" t="inlineStr">
        <is>
          <t>Canvassing and field</t>
        </is>
      </c>
      <c r="J112" s="14" t="inlineStr">
        <is>
          <t>2026-05-19</t>
        </is>
      </c>
    </row>
    <row r="113">
      <c r="A113" s="14" t="inlineStr">
        <is>
          <t>Blue Democracy Network</t>
        </is>
      </c>
      <c r="B113" s="14" t="inlineStr">
        <is>
          <t>Bob Brooks</t>
        </is>
      </c>
      <c r="C113" s="46" t="inlineStr">
        <is>
          <t>Supports</t>
        </is>
      </c>
      <c r="D113" s="14" t="inlineStr">
        <is>
          <t>Text Messages</t>
        </is>
      </c>
      <c r="E113" s="14" t="inlineStr">
        <is>
          <t>Activate Change LLC</t>
        </is>
      </c>
      <c r="F113" s="14" t="inlineStr">
        <is>
          <t>Dover</t>
        </is>
      </c>
      <c r="G113" s="14" t="inlineStr">
        <is>
          <t>DE</t>
        </is>
      </c>
      <c r="H113" s="47" t="n">
        <v>62.5</v>
      </c>
      <c r="I113" s="14" t="inlineStr">
        <is>
          <t>Texting and phone calls</t>
        </is>
      </c>
      <c r="J113" s="14" t="inlineStr">
        <is>
          <t>2026-04-20</t>
        </is>
      </c>
    </row>
    <row r="114">
      <c r="A114" s="14" t="inlineStr">
        <is>
          <t>Indigo PAC</t>
        </is>
      </c>
      <c r="B114" s="14" t="inlineStr">
        <is>
          <t>Ryan Mackenzie</t>
        </is>
      </c>
      <c r="C114" s="46" t="inlineStr">
        <is>
          <t>Opposes</t>
        </is>
      </c>
      <c r="D114" s="14" t="inlineStr">
        <is>
          <t>Digital Advertising</t>
        </is>
      </c>
      <c r="E114" s="14" t="inlineStr">
        <is>
          <t>Meta Platforms, Inc.</t>
        </is>
      </c>
      <c r="F114" s="14" t="inlineStr">
        <is>
          <t>Menlo Park</t>
        </is>
      </c>
      <c r="G114" s="14" t="inlineStr">
        <is>
          <t>CA</t>
        </is>
      </c>
      <c r="H114" s="47" t="n">
        <v>55</v>
      </c>
      <c r="I114" s="14" t="inlineStr">
        <is>
          <t>Digital advertising</t>
        </is>
      </c>
      <c r="J114" s="14" t="inlineStr">
        <is>
          <t>2025-09-15</t>
        </is>
      </c>
    </row>
    <row r="115">
      <c r="A115" s="14" t="inlineStr">
        <is>
          <t>The People United PAC</t>
        </is>
      </c>
      <c r="B115" s="14" t="inlineStr">
        <is>
          <t>Bob Brooks</t>
        </is>
      </c>
      <c r="C115" s="46" t="inlineStr">
        <is>
          <t>Supports</t>
        </is>
      </c>
      <c r="D115" s="14" t="inlineStr">
        <is>
          <t>Fundraising Email</t>
        </is>
      </c>
      <c r="E115" s="14" t="inlineStr">
        <is>
          <t>Strategy &amp; Hustle L.l.c.</t>
        </is>
      </c>
      <c r="F115" s="14" t="inlineStr">
        <is>
          <t>Washington</t>
        </is>
      </c>
      <c r="G115" s="14" t="inlineStr">
        <is>
          <t>DC</t>
        </is>
      </c>
      <c r="H115" s="47" t="n">
        <v>50</v>
      </c>
      <c r="I115" s="14" t="inlineStr">
        <is>
          <t>Email</t>
        </is>
      </c>
      <c r="J115" s="14" t="inlineStr">
        <is>
          <t>2026-05-21</t>
        </is>
      </c>
    </row>
    <row r="116">
      <c r="A116" s="14" t="inlineStr">
        <is>
          <t>Indigo PAC</t>
        </is>
      </c>
      <c r="B116" s="14" t="inlineStr">
        <is>
          <t>Ryan Mackenzie</t>
        </is>
      </c>
      <c r="C116" s="46" t="inlineStr">
        <is>
          <t>Opposes</t>
        </is>
      </c>
      <c r="D116" s="14" t="inlineStr">
        <is>
          <t>Digital Advertising</t>
        </is>
      </c>
      <c r="E116" s="14" t="inlineStr">
        <is>
          <t>Meta Platforms, Inc.</t>
        </is>
      </c>
      <c r="F116" s="14" t="inlineStr">
        <is>
          <t>Menlo Park</t>
        </is>
      </c>
      <c r="G116" s="14" t="inlineStr">
        <is>
          <t>CA</t>
        </is>
      </c>
      <c r="H116" s="47" t="n">
        <v>39</v>
      </c>
      <c r="I116" s="14" t="inlineStr">
        <is>
          <t>Digital advertising</t>
        </is>
      </c>
      <c r="J116" s="14" t="inlineStr">
        <is>
          <t>2025-09-11</t>
        </is>
      </c>
    </row>
    <row r="117">
      <c r="A117" s="14" t="inlineStr">
        <is>
          <t>Make the Road Action Political Committee</t>
        </is>
      </c>
      <c r="B117" s="14" t="inlineStr">
        <is>
          <t>Bob Brooks</t>
        </is>
      </c>
      <c r="C117" s="46" t="inlineStr">
        <is>
          <t>Supports</t>
        </is>
      </c>
      <c r="D117" s="14" t="inlineStr">
        <is>
          <t>Food for Canvassers</t>
        </is>
      </c>
      <c r="E117" s="14" t="inlineStr">
        <is>
          <t>Wing Stop</t>
        </is>
      </c>
      <c r="F117" s="14" t="inlineStr">
        <is>
          <t>Philadelphia</t>
        </is>
      </c>
      <c r="G117" s="14" t="inlineStr">
        <is>
          <t>PA</t>
        </is>
      </c>
      <c r="H117" s="47" t="n">
        <v>35.68</v>
      </c>
      <c r="I117" s="14" t="inlineStr">
        <is>
          <t>Canvassing and field</t>
        </is>
      </c>
      <c r="J117" s="14" t="inlineStr">
        <is>
          <t>2026-04-02</t>
        </is>
      </c>
    </row>
    <row r="118">
      <c r="A118" s="14" t="inlineStr">
        <is>
          <t>Givegreen United Action</t>
        </is>
      </c>
      <c r="B118" s="14" t="inlineStr">
        <is>
          <t>Bob Brooks</t>
        </is>
      </c>
      <c r="C118" s="46" t="inlineStr">
        <is>
          <t>Supports</t>
        </is>
      </c>
      <c r="D118" s="14" t="inlineStr">
        <is>
          <t>Email Messaging</t>
        </is>
      </c>
      <c r="E118" s="14" t="inlineStr">
        <is>
          <t>New Blue Interactive</t>
        </is>
      </c>
      <c r="F118" s="14" t="inlineStr">
        <is>
          <t>Bethesda</t>
        </is>
      </c>
      <c r="G118" s="14" t="inlineStr">
        <is>
          <t>MD</t>
        </is>
      </c>
      <c r="H118" s="47" t="n">
        <v>32</v>
      </c>
      <c r="I118" s="14" t="inlineStr">
        <is>
          <t>Email</t>
        </is>
      </c>
      <c r="J118" s="14" t="inlineStr">
        <is>
          <t>2026-06-25</t>
        </is>
      </c>
    </row>
    <row r="119">
      <c r="A119" s="14" t="inlineStr">
        <is>
          <t>Givegreen United Action</t>
        </is>
      </c>
      <c r="B119" s="14" t="inlineStr">
        <is>
          <t>Bob Brooks</t>
        </is>
      </c>
      <c r="C119" s="46" t="inlineStr">
        <is>
          <t>Supports</t>
        </is>
      </c>
      <c r="D119" s="14" t="inlineStr">
        <is>
          <t>Text Messaging</t>
        </is>
      </c>
      <c r="E119" s="14" t="inlineStr">
        <is>
          <t>New Blue Interactive</t>
        </is>
      </c>
      <c r="F119" s="14" t="inlineStr">
        <is>
          <t>Bethesda</t>
        </is>
      </c>
      <c r="G119" s="14" t="inlineStr">
        <is>
          <t>MD</t>
        </is>
      </c>
      <c r="H119" s="47" t="n">
        <v>4.54</v>
      </c>
      <c r="I119" s="14" t="inlineStr">
        <is>
          <t>Texting and phone calls</t>
        </is>
      </c>
      <c r="J119" s="14" t="inlineStr">
        <is>
          <t>2026-06-25</t>
        </is>
      </c>
    </row>
    <row r="120">
      <c r="A120" s="15" t="inlineStr">
        <is>
          <t>TOTAL</t>
        </is>
      </c>
      <c r="B120" s="20" t="n"/>
      <c r="C120" s="20" t="n"/>
      <c r="D120" s="20" t="n"/>
      <c r="E120" s="20" t="n"/>
      <c r="F120" s="20" t="n"/>
      <c r="G120" s="20" t="n"/>
      <c r="H120" s="48">
        <f>SUM(H20:H119)</f>
        <v/>
      </c>
      <c r="I120" s="20" t="n"/>
      <c r="J120" s="20" t="n"/>
    </row>
    <row r="121">
      <c r="A121" s="40" t="inlineStr">
        <is>
          <t>Check: itemized total minus the by-candidate aggregate on Outside Money (must be $0)</t>
        </is>
      </c>
      <c r="H121" s="41">
        <f>H120-'Outside Money'!D36</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2026-09-28T23:33:30Z.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654900.95</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2026-09-28T23:32:20Z</t>
        </is>
      </c>
    </row>
    <row r="5" ht="108" customHeight="1">
      <c r="A5" s="85" t="inlineStr">
        <is>
          <t>History, finance: OpenFEC API (finance); certified results from sources/results.json, retrieved 2026-09-28T23:33:30Z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2026-09-28T23:33:31Z</dcterms:created>
  <dcterms:modified xsi:type="dcterms:W3CDTF">2026-09-28T23:33:31Z</dcterms:modified>
</cp:coreProperties>
</file>